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academic\MSc\research\New research stuff\research documents\trials\output\"/>
    </mc:Choice>
  </mc:AlternateContent>
  <bookViews>
    <workbookView xWindow="0" yWindow="0" windowWidth="20490" windowHeight="7755" firstSheet="8" activeTab="12"/>
  </bookViews>
  <sheets>
    <sheet name="Answer Report 1" sheetId="2" r:id="rId1"/>
    <sheet name="example1" sheetId="1" r:id="rId2"/>
    <sheet name="Answer Report 2" sheetId="4" r:id="rId3"/>
    <sheet name="Answer Report 3" sheetId="5" r:id="rId4"/>
    <sheet name="Answer Report 4" sheetId="6" r:id="rId5"/>
    <sheet name="Answer Report 5" sheetId="7" r:id="rId6"/>
    <sheet name="example 2" sheetId="3" r:id="rId7"/>
    <sheet name="Answer Report 6" sheetId="9" r:id="rId8"/>
    <sheet name="Answer Report 7" sheetId="10" r:id="rId9"/>
    <sheet name="Answer Report 8" sheetId="11" r:id="rId10"/>
    <sheet name="Answer Report 9" sheetId="12" r:id="rId11"/>
    <sheet name="final" sheetId="8" r:id="rId12"/>
    <sheet name="Answer Report 10" sheetId="14" r:id="rId13"/>
    <sheet name="new" sheetId="13" r:id="rId14"/>
  </sheets>
  <definedNames>
    <definedName name="solver_adj" localSheetId="6" hidden="1">'example 2'!$A$3:$AX$3</definedName>
    <definedName name="solver_adj" localSheetId="1" hidden="1">example1!$A$3:$AD$3</definedName>
    <definedName name="solver_adj" localSheetId="11" hidden="1">final!$A$3:$AZ$3</definedName>
    <definedName name="solver_adj" localSheetId="13" hidden="1">new!$A$3:$T$3</definedName>
    <definedName name="solver_cvg" localSheetId="6" hidden="1">0.0001</definedName>
    <definedName name="solver_cvg" localSheetId="1" hidden="1">0.0001</definedName>
    <definedName name="solver_cvg" localSheetId="11" hidden="1">0.0001</definedName>
    <definedName name="solver_cvg" localSheetId="13" hidden="1">0.0001</definedName>
    <definedName name="solver_drv" localSheetId="6" hidden="1">2</definedName>
    <definedName name="solver_drv" localSheetId="1" hidden="1">1</definedName>
    <definedName name="solver_drv" localSheetId="11" hidden="1">2</definedName>
    <definedName name="solver_drv" localSheetId="13" hidden="1">1</definedName>
    <definedName name="solver_eng" localSheetId="6" hidden="1">2</definedName>
    <definedName name="solver_eng" localSheetId="1" hidden="1">2</definedName>
    <definedName name="solver_eng" localSheetId="11" hidden="1">2</definedName>
    <definedName name="solver_eng" localSheetId="13" hidden="1">2</definedName>
    <definedName name="solver_est" localSheetId="6" hidden="1">1</definedName>
    <definedName name="solver_est" localSheetId="1" hidden="1">1</definedName>
    <definedName name="solver_est" localSheetId="11" hidden="1">1</definedName>
    <definedName name="solver_est" localSheetId="13" hidden="1">1</definedName>
    <definedName name="solver_itr" localSheetId="6" hidden="1">2147483647</definedName>
    <definedName name="solver_itr" localSheetId="1" hidden="1">2147483647</definedName>
    <definedName name="solver_itr" localSheetId="11" hidden="1">2147483647</definedName>
    <definedName name="solver_itr" localSheetId="13" hidden="1">2147483647</definedName>
    <definedName name="solver_lhs1" localSheetId="6" hidden="1">'example 2'!$A$3:$AX$3</definedName>
    <definedName name="solver_lhs1" localSheetId="1" hidden="1">example1!$A$3:$AD$3</definedName>
    <definedName name="solver_lhs1" localSheetId="11" hidden="1">final!$A$3:$AZ$3</definedName>
    <definedName name="solver_lhs1" localSheetId="13" hidden="1">new!$A$3:$T$3</definedName>
    <definedName name="solver_lhs2" localSheetId="6" hidden="1">'example 2'!$AY$11:$AY$60</definedName>
    <definedName name="solver_lhs2" localSheetId="1" hidden="1">example1!$AE$37:$AE$49</definedName>
    <definedName name="solver_lhs2" localSheetId="11" hidden="1">final!$BA$11:$BA$62</definedName>
    <definedName name="solver_lhs2" localSheetId="13" hidden="1">new!$U$12:$U$31</definedName>
    <definedName name="solver_lhs3" localSheetId="6" hidden="1">'example 2'!$AY$61:$AY$90</definedName>
    <definedName name="solver_lhs3" localSheetId="1" hidden="1">example1!$AE$7:$AE$36</definedName>
    <definedName name="solver_lhs3" localSheetId="11" hidden="1">final!$BA$63:$BA$104</definedName>
    <definedName name="solver_lhs3" localSheetId="13" hidden="1">new!$U$32:$U$51</definedName>
    <definedName name="solver_lhs4" localSheetId="13" hidden="1">new!$U$7</definedName>
    <definedName name="solver_mip" localSheetId="6" hidden="1">2147483647</definedName>
    <definedName name="solver_mip" localSheetId="1" hidden="1">2147483647</definedName>
    <definedName name="solver_mip" localSheetId="11" hidden="1">2147483647</definedName>
    <definedName name="solver_mip" localSheetId="13" hidden="1">2147483647</definedName>
    <definedName name="solver_mni" localSheetId="6" hidden="1">30</definedName>
    <definedName name="solver_mni" localSheetId="1" hidden="1">30</definedName>
    <definedName name="solver_mni" localSheetId="11" hidden="1">30</definedName>
    <definedName name="solver_mni" localSheetId="13" hidden="1">30</definedName>
    <definedName name="solver_mrt" localSheetId="6" hidden="1">0.075</definedName>
    <definedName name="solver_mrt" localSheetId="1" hidden="1">0.075</definedName>
    <definedName name="solver_mrt" localSheetId="11" hidden="1">0.075</definedName>
    <definedName name="solver_mrt" localSheetId="13" hidden="1">0.075</definedName>
    <definedName name="solver_msl" localSheetId="6" hidden="1">2</definedName>
    <definedName name="solver_msl" localSheetId="1" hidden="1">2</definedName>
    <definedName name="solver_msl" localSheetId="11" hidden="1">2</definedName>
    <definedName name="solver_msl" localSheetId="13" hidden="1">2</definedName>
    <definedName name="solver_neg" localSheetId="6" hidden="1">2</definedName>
    <definedName name="solver_neg" localSheetId="1" hidden="1">1</definedName>
    <definedName name="solver_neg" localSheetId="11" hidden="1">2</definedName>
    <definedName name="solver_neg" localSheetId="13" hidden="1">1</definedName>
    <definedName name="solver_nod" localSheetId="6" hidden="1">2147483647</definedName>
    <definedName name="solver_nod" localSheetId="1" hidden="1">2147483647</definedName>
    <definedName name="solver_nod" localSheetId="11" hidden="1">2147483647</definedName>
    <definedName name="solver_nod" localSheetId="13" hidden="1">2147483647</definedName>
    <definedName name="solver_num" localSheetId="6" hidden="1">3</definedName>
    <definedName name="solver_num" localSheetId="1" hidden="1">3</definedName>
    <definedName name="solver_num" localSheetId="11" hidden="1">3</definedName>
    <definedName name="solver_num" localSheetId="13" hidden="1">4</definedName>
    <definedName name="solver_nwt" localSheetId="6" hidden="1">1</definedName>
    <definedName name="solver_nwt" localSheetId="1" hidden="1">1</definedName>
    <definedName name="solver_nwt" localSheetId="11" hidden="1">1</definedName>
    <definedName name="solver_nwt" localSheetId="13" hidden="1">1</definedName>
    <definedName name="solver_opt" localSheetId="6" hidden="1">'example 2'!$AY$7</definedName>
    <definedName name="solver_opt" localSheetId="1" hidden="1">example1!$AE$53</definedName>
    <definedName name="solver_opt" localSheetId="11" hidden="1">final!$BA$7</definedName>
    <definedName name="solver_opt" localSheetId="13" hidden="1">new!$U$7</definedName>
    <definedName name="solver_pre" localSheetId="6" hidden="1">0.000001</definedName>
    <definedName name="solver_pre" localSheetId="1" hidden="1">0.000001</definedName>
    <definedName name="solver_pre" localSheetId="11" hidden="1">0.000001</definedName>
    <definedName name="solver_pre" localSheetId="13" hidden="1">0.000001</definedName>
    <definedName name="solver_rbv" localSheetId="6" hidden="1">2</definedName>
    <definedName name="solver_rbv" localSheetId="1" hidden="1">1</definedName>
    <definedName name="solver_rbv" localSheetId="11" hidden="1">2</definedName>
    <definedName name="solver_rbv" localSheetId="13" hidden="1">1</definedName>
    <definedName name="solver_rel1" localSheetId="6" hidden="1">4</definedName>
    <definedName name="solver_rel1" localSheetId="1" hidden="1">4</definedName>
    <definedName name="solver_rel1" localSheetId="11" hidden="1">4</definedName>
    <definedName name="solver_rel1" localSheetId="13" hidden="1">4</definedName>
    <definedName name="solver_rel2" localSheetId="6" hidden="1">3</definedName>
    <definedName name="solver_rel2" localSheetId="1" hidden="1">1</definedName>
    <definedName name="solver_rel2" localSheetId="11" hidden="1">3</definedName>
    <definedName name="solver_rel2" localSheetId="13" hidden="1">3</definedName>
    <definedName name="solver_rel3" localSheetId="6" hidden="1">1</definedName>
    <definedName name="solver_rel3" localSheetId="1" hidden="1">3</definedName>
    <definedName name="solver_rel3" localSheetId="11" hidden="1">1</definedName>
    <definedName name="solver_rel3" localSheetId="13" hidden="1">1</definedName>
    <definedName name="solver_rel4" localSheetId="13" hidden="1">1</definedName>
    <definedName name="solver_rhs1" localSheetId="6" hidden="1">integer</definedName>
    <definedName name="solver_rhs1" localSheetId="1" hidden="1">integer</definedName>
    <definedName name="solver_rhs1" localSheetId="11" hidden="1">integer</definedName>
    <definedName name="solver_rhs1" localSheetId="13" hidden="1">integer</definedName>
    <definedName name="solver_rhs2" localSheetId="6" hidden="1">'example 2'!$BA$11:$BA$60</definedName>
    <definedName name="solver_rhs2" localSheetId="1" hidden="1">example1!$AG$37:$AG$49</definedName>
    <definedName name="solver_rhs2" localSheetId="11" hidden="1">final!$BC$11:$BC$62</definedName>
    <definedName name="solver_rhs2" localSheetId="13" hidden="1">new!$W$12:$W$31</definedName>
    <definedName name="solver_rhs3" localSheetId="6" hidden="1">'example 2'!$BA$61:$BA$90</definedName>
    <definedName name="solver_rhs3" localSheetId="1" hidden="1">example1!$AG$7:$AG$36</definedName>
    <definedName name="solver_rhs3" localSheetId="11" hidden="1">final!$BC$63:$BC$104</definedName>
    <definedName name="solver_rhs3" localSheetId="13" hidden="1">new!$W$32:$W$51</definedName>
    <definedName name="solver_rhs4" localSheetId="13" hidden="1">75</definedName>
    <definedName name="solver_rlx" localSheetId="6" hidden="1">2</definedName>
    <definedName name="solver_rlx" localSheetId="1" hidden="1">2</definedName>
    <definedName name="solver_rlx" localSheetId="11" hidden="1">2</definedName>
    <definedName name="solver_rlx" localSheetId="13" hidden="1">2</definedName>
    <definedName name="solver_rsd" localSheetId="6" hidden="1">0</definedName>
    <definedName name="solver_rsd" localSheetId="1" hidden="1">0</definedName>
    <definedName name="solver_rsd" localSheetId="11" hidden="1">0</definedName>
    <definedName name="solver_rsd" localSheetId="13" hidden="1">0</definedName>
    <definedName name="solver_scl" localSheetId="6" hidden="1">2</definedName>
    <definedName name="solver_scl" localSheetId="1" hidden="1">1</definedName>
    <definedName name="solver_scl" localSheetId="11" hidden="1">2</definedName>
    <definedName name="solver_scl" localSheetId="13" hidden="1">1</definedName>
    <definedName name="solver_sho" localSheetId="6" hidden="1">2</definedName>
    <definedName name="solver_sho" localSheetId="1" hidden="1">2</definedName>
    <definedName name="solver_sho" localSheetId="11" hidden="1">2</definedName>
    <definedName name="solver_sho" localSheetId="13" hidden="1">2</definedName>
    <definedName name="solver_ssz" localSheetId="6" hidden="1">100</definedName>
    <definedName name="solver_ssz" localSheetId="1" hidden="1">100</definedName>
    <definedName name="solver_ssz" localSheetId="11" hidden="1">100</definedName>
    <definedName name="solver_ssz" localSheetId="13" hidden="1">100</definedName>
    <definedName name="solver_tim" localSheetId="6" hidden="1">2147483647</definedName>
    <definedName name="solver_tim" localSheetId="1" hidden="1">2147483647</definedName>
    <definedName name="solver_tim" localSheetId="11" hidden="1">2147483647</definedName>
    <definedName name="solver_tim" localSheetId="13" hidden="1">2147483647</definedName>
    <definedName name="solver_tol" localSheetId="6" hidden="1">0.01</definedName>
    <definedName name="solver_tol" localSheetId="1" hidden="1">0.01</definedName>
    <definedName name="solver_tol" localSheetId="11" hidden="1">0.01</definedName>
    <definedName name="solver_tol" localSheetId="13" hidden="1">0.01</definedName>
    <definedName name="solver_typ" localSheetId="6" hidden="1">1</definedName>
    <definedName name="solver_typ" localSheetId="1" hidden="1">1</definedName>
    <definedName name="solver_typ" localSheetId="11" hidden="1">1</definedName>
    <definedName name="solver_typ" localSheetId="13" hidden="1">1</definedName>
    <definedName name="solver_val" localSheetId="6" hidden="1">0</definedName>
    <definedName name="solver_val" localSheetId="1" hidden="1">0</definedName>
    <definedName name="solver_val" localSheetId="11" hidden="1">0</definedName>
    <definedName name="solver_val" localSheetId="13" hidden="1">0</definedName>
    <definedName name="solver_ver" localSheetId="6" hidden="1">3</definedName>
    <definedName name="solver_ver" localSheetId="1" hidden="1">3</definedName>
    <definedName name="solver_ver" localSheetId="11" hidden="1">3</definedName>
    <definedName name="solver_ver" localSheetId="13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" i="13" l="1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13" i="13"/>
  <c r="U12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BA11" i="8"/>
  <c r="BA7" i="8"/>
  <c r="AZ7" i="8" l="1"/>
  <c r="AY7" i="8"/>
  <c r="BA12" i="8"/>
  <c r="BA13" i="8"/>
  <c r="BA14" i="8"/>
  <c r="BA63" i="8"/>
  <c r="BA64" i="8"/>
  <c r="BA65" i="8"/>
  <c r="BA66" i="8"/>
  <c r="BA67" i="8"/>
  <c r="BA68" i="8"/>
  <c r="BA69" i="8"/>
  <c r="BA70" i="8"/>
  <c r="BA71" i="8"/>
  <c r="BA72" i="8"/>
  <c r="BA73" i="8"/>
  <c r="BA74" i="8"/>
  <c r="BA75" i="8"/>
  <c r="BA76" i="8"/>
  <c r="BA77" i="8"/>
  <c r="BA78" i="8"/>
  <c r="BA79" i="8"/>
  <c r="BA80" i="8"/>
  <c r="BA81" i="8"/>
  <c r="BA82" i="8"/>
  <c r="BA83" i="8"/>
  <c r="BA84" i="8"/>
  <c r="BA85" i="8"/>
  <c r="BA86" i="8"/>
  <c r="BA87" i="8"/>
  <c r="BA88" i="8"/>
  <c r="BA89" i="8"/>
  <c r="BA90" i="8"/>
  <c r="BA91" i="8"/>
  <c r="BA92" i="8"/>
  <c r="BA93" i="8"/>
  <c r="BA94" i="8"/>
  <c r="BA95" i="8"/>
  <c r="BA96" i="8"/>
  <c r="BA97" i="8"/>
  <c r="BA98" i="8"/>
  <c r="BA99" i="8"/>
  <c r="BA100" i="8"/>
  <c r="BA101" i="8"/>
  <c r="BA102" i="8"/>
  <c r="BA103" i="8"/>
  <c r="AZ104" i="8"/>
  <c r="AY104" i="8"/>
  <c r="AX104" i="8"/>
  <c r="AW104" i="8"/>
  <c r="AT104" i="8"/>
  <c r="AS104" i="8"/>
  <c r="AR104" i="8"/>
  <c r="AQ104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A104" i="8"/>
  <c r="Z104" i="8"/>
  <c r="Y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10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9" i="8"/>
  <c r="BA50" i="8"/>
  <c r="BA51" i="8"/>
  <c r="BA52" i="8"/>
  <c r="BA53" i="8"/>
  <c r="BA54" i="8"/>
  <c r="BA55" i="8"/>
  <c r="BA56" i="8"/>
  <c r="BA57" i="8"/>
  <c r="BA58" i="8"/>
  <c r="BA59" i="8"/>
  <c r="BA60" i="8"/>
  <c r="BA61" i="8"/>
  <c r="BA62" i="8"/>
  <c r="AX7" i="8"/>
  <c r="AW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A7" i="8"/>
  <c r="Z7" i="8"/>
  <c r="Y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BA104" i="8" l="1"/>
  <c r="AY89" i="3" l="1"/>
  <c r="AY88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90" i="3"/>
  <c r="AX90" i="3"/>
  <c r="AW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A90" i="3"/>
  <c r="Z90" i="3"/>
  <c r="Y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12" i="3"/>
  <c r="AY13" i="3"/>
  <c r="AY14" i="3"/>
  <c r="AY15" i="3"/>
  <c r="AY16" i="3"/>
  <c r="AY17" i="3"/>
  <c r="AY18" i="3"/>
  <c r="AY19" i="3"/>
  <c r="AY20" i="3"/>
  <c r="AY21" i="3"/>
  <c r="AY22" i="3"/>
  <c r="AY7" i="3"/>
  <c r="AY11" i="3"/>
  <c r="AX7" i="3"/>
  <c r="AW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A7" i="3"/>
  <c r="Z7" i="3"/>
  <c r="Y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7" i="3"/>
  <c r="A55" i="1" l="1"/>
  <c r="AE53" i="1"/>
  <c r="AD53" i="1"/>
  <c r="AC53" i="1"/>
  <c r="AA53" i="1"/>
  <c r="Z53" i="1"/>
  <c r="Y53" i="1"/>
  <c r="X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7" i="1"/>
  <c r="C49" i="1"/>
  <c r="B48" i="1"/>
  <c r="A47" i="1"/>
  <c r="AD46" i="1"/>
  <c r="AC46" i="1"/>
  <c r="AA46" i="1"/>
  <c r="Z46" i="1"/>
  <c r="Y46" i="1"/>
  <c r="X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</calcChain>
</file>

<file path=xl/sharedStrings.xml><?xml version="1.0" encoding="utf-8"?>
<sst xmlns="http://schemas.openxmlformats.org/spreadsheetml/2006/main" count="5391" uniqueCount="693">
  <si>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</si>
  <si>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</si>
  <si>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</si>
  <si>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</si>
  <si>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</si>
  <si>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</si>
  <si>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</si>
  <si>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</si>
  <si>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</si>
  <si>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</si>
  <si>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</si>
  <si>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</si>
  <si>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</si>
  <si>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</si>
  <si>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</si>
  <si>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</si>
  <si>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</si>
  <si>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</si>
  <si>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</si>
  <si>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</si>
  <si>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</si>
  <si>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</si>
  <si>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</si>
  <si>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</si>
  <si>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</si>
  <si>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</si>
  <si>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</si>
  <si>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</si>
  <si>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</si>
  <si>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</si>
  <si>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</si>
  <si>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</si>
  <si>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</si>
  <si>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</si>
  <si>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</si>
  <si>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</si>
  <si>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</si>
  <si>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</si>
  <si>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</si>
  <si>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</si>
  <si>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</si>
  <si>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</si>
  <si>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</si>
  <si>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</si>
  <si>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</si>
  <si>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</si>
  <si>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</si>
  <si>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</si>
  <si>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</si>
  <si>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</si>
  <si>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Decision variables</t>
  </si>
  <si>
    <t>Constraints</t>
  </si>
  <si>
    <t>Totals</t>
  </si>
  <si>
    <t>Limits</t>
  </si>
  <si>
    <t>&lt;=</t>
  </si>
  <si>
    <t>&gt;=</t>
  </si>
  <si>
    <t>Objective</t>
  </si>
  <si>
    <t>Total</t>
  </si>
  <si>
    <t>Microsoft Excel 15.0 Answer Report</t>
  </si>
  <si>
    <t>Worksheet: [Book1.xlsx]Sheet1</t>
  </si>
  <si>
    <t>Report Created: 2/10/2021 5:53:55 PM</t>
  </si>
  <si>
    <t>Result: Solver found an integer solution within tolerance.  All Constraints are satisfied.</t>
  </si>
  <si>
    <t>Solver Engine</t>
  </si>
  <si>
    <t>Engine: Simplex LP</t>
  </si>
  <si>
    <t>Solution Time: 0.094 Seconds.</t>
  </si>
  <si>
    <t>Iterations: 17 Subproblems: 34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</si>
  <si>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</si>
  <si>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</si>
  <si>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</si>
  <si>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</si>
  <si>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</si>
  <si>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</si>
  <si>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</si>
  <si>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</si>
  <si>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</si>
  <si>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</si>
  <si>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</si>
  <si>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</si>
  <si>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</si>
  <si>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</si>
  <si>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$AE$53</t>
  </si>
  <si>
    <t>$A$3</t>
  </si>
  <si>
    <t>$B$3</t>
  </si>
  <si>
    <t>$C$3</t>
  </si>
  <si>
    <t>$D$3</t>
  </si>
  <si>
    <t>$E$3</t>
  </si>
  <si>
    <t>$F$3</t>
  </si>
  <si>
    <t>$G$3</t>
  </si>
  <si>
    <t>$H$3</t>
  </si>
  <si>
    <t>$I$3</t>
  </si>
  <si>
    <t>$J$3</t>
  </si>
  <si>
    <t>$K$3</t>
  </si>
  <si>
    <t>$L$3</t>
  </si>
  <si>
    <t>$M$3</t>
  </si>
  <si>
    <t>$N$3</t>
  </si>
  <si>
    <t>$O$3</t>
  </si>
  <si>
    <t>$P$3</t>
  </si>
  <si>
    <t>$Q$3</t>
  </si>
  <si>
    <t>$R$3</t>
  </si>
  <si>
    <t>$S$3</t>
  </si>
  <si>
    <t>$T$3</t>
  </si>
  <si>
    <t>$U$3</t>
  </si>
  <si>
    <t>$V$3</t>
  </si>
  <si>
    <t>$W$3</t>
  </si>
  <si>
    <t>$X$3</t>
  </si>
  <si>
    <t>$Y$3</t>
  </si>
  <si>
    <t>$Z$3</t>
  </si>
  <si>
    <t>$AA$3</t>
  </si>
  <si>
    <t>$AB$3</t>
  </si>
  <si>
    <t>$AC$3</t>
  </si>
  <si>
    <t>$AD$3</t>
  </si>
  <si>
    <t>$AE$37</t>
  </si>
  <si>
    <t>$AE$37&lt;=$AG$37</t>
  </si>
  <si>
    <t>Not Binding</t>
  </si>
  <si>
    <t>$AE$38</t>
  </si>
  <si>
    <t>$AE$38&lt;=$AG$38</t>
  </si>
  <si>
    <t>$AE$39</t>
  </si>
  <si>
    <t>$AE$39&lt;=$AG$39</t>
  </si>
  <si>
    <t>$AE$40</t>
  </si>
  <si>
    <t>$AE$40&lt;=$AG$40</t>
  </si>
  <si>
    <t>$AE$41</t>
  </si>
  <si>
    <t>$AE$41&lt;=$AG$41</t>
  </si>
  <si>
    <t>$AE$42</t>
  </si>
  <si>
    <t>$AE$42&lt;=$AG$42</t>
  </si>
  <si>
    <t>$AE$43</t>
  </si>
  <si>
    <t>$AE$43&lt;=$AG$43</t>
  </si>
  <si>
    <t>Binding</t>
  </si>
  <si>
    <t>$AE$44</t>
  </si>
  <si>
    <t>$AE$44&lt;=$AG$44</t>
  </si>
  <si>
    <t>$AE$45</t>
  </si>
  <si>
    <t>$AE$45&lt;=$AG$45</t>
  </si>
  <si>
    <t>$AE$46</t>
  </si>
  <si>
    <t>$AE$46&lt;=$AG$46</t>
  </si>
  <si>
    <t>$AE$47</t>
  </si>
  <si>
    <t>$AE$47&lt;=$AG$47</t>
  </si>
  <si>
    <t>$AE$48</t>
  </si>
  <si>
    <t>$AE$48&lt;=$AG$48</t>
  </si>
  <si>
    <t>$AE$49</t>
  </si>
  <si>
    <t>$AE$49&lt;=$AG$49</t>
  </si>
  <si>
    <t>$AE$7</t>
  </si>
  <si>
    <t>$AE$7&gt;=$AG$7</t>
  </si>
  <si>
    <t>$AE$8</t>
  </si>
  <si>
    <t>$AE$8&gt;=$AG$8</t>
  </si>
  <si>
    <t>$AE$9</t>
  </si>
  <si>
    <t>$AE$9&gt;=$AG$9</t>
  </si>
  <si>
    <t>$AE$10</t>
  </si>
  <si>
    <t>$AE$10&gt;=$AG$10</t>
  </si>
  <si>
    <t>$AE$11</t>
  </si>
  <si>
    <t>$AE$11&gt;=$AG$11</t>
  </si>
  <si>
    <t>$AE$12</t>
  </si>
  <si>
    <t>$AE$12&gt;=$AG$12</t>
  </si>
  <si>
    <t>$AE$13</t>
  </si>
  <si>
    <t>$AE$13&gt;=$AG$13</t>
  </si>
  <si>
    <t>$AE$14</t>
  </si>
  <si>
    <t>$AE$14&gt;=$AG$14</t>
  </si>
  <si>
    <t>$AE$15</t>
  </si>
  <si>
    <t>$AE$15&gt;=$AG$15</t>
  </si>
  <si>
    <t>$AE$16</t>
  </si>
  <si>
    <t>$AE$16&gt;=$AG$16</t>
  </si>
  <si>
    <t>$AE$17</t>
  </si>
  <si>
    <t>$AE$17&gt;=$AG$17</t>
  </si>
  <si>
    <t>$AE$18</t>
  </si>
  <si>
    <t>$AE$18&gt;=$AG$18</t>
  </si>
  <si>
    <t>$AE$19</t>
  </si>
  <si>
    <t>$AE$19&gt;=$AG$19</t>
  </si>
  <si>
    <t>$AE$20</t>
  </si>
  <si>
    <t>$AE$20&gt;=$AG$20</t>
  </si>
  <si>
    <t>$AE$21</t>
  </si>
  <si>
    <t>$AE$21&gt;=$AG$21</t>
  </si>
  <si>
    <t>$AE$22</t>
  </si>
  <si>
    <t>$AE$22&gt;=$AG$22</t>
  </si>
  <si>
    <t>$AE$23</t>
  </si>
  <si>
    <t>$AE$23&gt;=$AG$23</t>
  </si>
  <si>
    <t>$AE$24</t>
  </si>
  <si>
    <t>$AE$24&gt;=$AG$24</t>
  </si>
  <si>
    <t>$AE$25</t>
  </si>
  <si>
    <t>$AE$25&gt;=$AG$25</t>
  </si>
  <si>
    <t>$AE$26</t>
  </si>
  <si>
    <t>$AE$26&gt;=$AG$26</t>
  </si>
  <si>
    <t>$AE$27</t>
  </si>
  <si>
    <t>$AE$27&gt;=$AG$27</t>
  </si>
  <si>
    <t>$AE$28</t>
  </si>
  <si>
    <t>$AE$28&gt;=$AG$28</t>
  </si>
  <si>
    <t>$AE$29</t>
  </si>
  <si>
    <t>$AE$29&gt;=$AG$29</t>
  </si>
  <si>
    <t>$AE$30</t>
  </si>
  <si>
    <t>$AE$30&gt;=$AG$30</t>
  </si>
  <si>
    <t>$AE$31</t>
  </si>
  <si>
    <t>$AE$31&gt;=$AG$31</t>
  </si>
  <si>
    <t>$AE$32</t>
  </si>
  <si>
    <t>$AE$32&gt;=$AG$32</t>
  </si>
  <si>
    <t>$AE$33</t>
  </si>
  <si>
    <t>$AE$33&gt;=$AG$33</t>
  </si>
  <si>
    <t>$AE$34</t>
  </si>
  <si>
    <t>$AE$34&gt;=$AG$34</t>
  </si>
  <si>
    <t>$AE$35</t>
  </si>
  <si>
    <t>$AE$35&gt;=$AG$35</t>
  </si>
  <si>
    <t>$AE$36</t>
  </si>
  <si>
    <t>$AE$36&gt;=$AG$36</t>
  </si>
  <si>
    <t>$A$3:$AD$3=Integer</t>
  </si>
  <si>
    <t>Decision Variables</t>
  </si>
  <si>
    <t>Objective function</t>
  </si>
  <si>
    <t>Limit</t>
  </si>
  <si>
    <t>Worksheet: [Book1.xlsx]example 2</t>
  </si>
  <si>
    <t>Report Created: 2/10/2021 7:10:13 PM</t>
  </si>
  <si>
    <t>Solution Time: 0.25 Seconds.</t>
  </si>
  <si>
    <t>Iterations: 34 Subproblems: 68</t>
  </si>
  <si>
    <t>Max Time Unlimited,  Iterations Unlimited, Precision 0.000001</t>
  </si>
  <si>
    <t>Max Subproblems Unlimited, Max Integer Sols Unlimited, Integer Tolerance 1%</t>
  </si>
  <si>
    <t>$AY$7</t>
  </si>
  <si>
    <t>$AE$3</t>
  </si>
  <si>
    <t>$AF$3</t>
  </si>
  <si>
    <t>$AG$3</t>
  </si>
  <si>
    <t>$AH$3</t>
  </si>
  <si>
    <t>$AI$3</t>
  </si>
  <si>
    <t>$AJ$3</t>
  </si>
  <si>
    <t>$AK$3</t>
  </si>
  <si>
    <t>$AL$3</t>
  </si>
  <si>
    <t>$AM$3</t>
  </si>
  <si>
    <t>$AN$3</t>
  </si>
  <si>
    <t>$AO$3</t>
  </si>
  <si>
    <t>$AP$3</t>
  </si>
  <si>
    <t>$AQ$3</t>
  </si>
  <si>
    <t>$AR$3</t>
  </si>
  <si>
    <t>$AS$3</t>
  </si>
  <si>
    <t>$AT$3</t>
  </si>
  <si>
    <t>$AU$3</t>
  </si>
  <si>
    <t>$AV$3</t>
  </si>
  <si>
    <t>$AW$3</t>
  </si>
  <si>
    <t>$AX$3</t>
  </si>
  <si>
    <t>$AY$11</t>
  </si>
  <si>
    <t>$AY$11&gt;=$BA$11</t>
  </si>
  <si>
    <t>$AY$12</t>
  </si>
  <si>
    <t>$AY$12&gt;=$BA$12</t>
  </si>
  <si>
    <t>$AY$13</t>
  </si>
  <si>
    <t>$AY$13&gt;=$BA$13</t>
  </si>
  <si>
    <t>$AY$14</t>
  </si>
  <si>
    <t>$AY$14&gt;=$BA$14</t>
  </si>
  <si>
    <t>$AY$15</t>
  </si>
  <si>
    <t>$AY$15&gt;=$BA$15</t>
  </si>
  <si>
    <t>$AY$16</t>
  </si>
  <si>
    <t>$AY$16&gt;=$BA$16</t>
  </si>
  <si>
    <t>$AY$17</t>
  </si>
  <si>
    <t>$AY$17&gt;=$BA$17</t>
  </si>
  <si>
    <t>$AY$18</t>
  </si>
  <si>
    <t>$AY$18&gt;=$BA$18</t>
  </si>
  <si>
    <t>$AY$19</t>
  </si>
  <si>
    <t>$AY$19&gt;=$BA$19</t>
  </si>
  <si>
    <t>$AY$20</t>
  </si>
  <si>
    <t>$AY$20&gt;=$BA$20</t>
  </si>
  <si>
    <t>$AY$21</t>
  </si>
  <si>
    <t>$AY$21&gt;=$BA$21</t>
  </si>
  <si>
    <t>$AY$22</t>
  </si>
  <si>
    <t>$AY$22&gt;=$BA$22</t>
  </si>
  <si>
    <t>$AY$23</t>
  </si>
  <si>
    <t>$AY$23&gt;=$BA$23</t>
  </si>
  <si>
    <t>$AY$24</t>
  </si>
  <si>
    <t>$AY$24&gt;=$BA$24</t>
  </si>
  <si>
    <t>$AY$25</t>
  </si>
  <si>
    <t>$AY$25&gt;=$BA$25</t>
  </si>
  <si>
    <t>$AY$26</t>
  </si>
  <si>
    <t>$AY$26&gt;=$BA$26</t>
  </si>
  <si>
    <t>$AY$27</t>
  </si>
  <si>
    <t>$AY$27&gt;=$BA$27</t>
  </si>
  <si>
    <t>$AY$28</t>
  </si>
  <si>
    <t>$AY$28&gt;=$BA$28</t>
  </si>
  <si>
    <t>$AY$29</t>
  </si>
  <si>
    <t>$AY$29&gt;=$BA$29</t>
  </si>
  <si>
    <t>$AY$30</t>
  </si>
  <si>
    <t>$AY$30&gt;=$BA$30</t>
  </si>
  <si>
    <t>$AY$31</t>
  </si>
  <si>
    <t>$AY$31&gt;=$BA$31</t>
  </si>
  <si>
    <t>$AY$32</t>
  </si>
  <si>
    <t>$AY$32&gt;=$BA$32</t>
  </si>
  <si>
    <t>$AY$33</t>
  </si>
  <si>
    <t>$AY$33&gt;=$BA$33</t>
  </si>
  <si>
    <t>$AY$34</t>
  </si>
  <si>
    <t>$AY$34&gt;=$BA$34</t>
  </si>
  <si>
    <t>$AY$35</t>
  </si>
  <si>
    <t>$AY$35&gt;=$BA$35</t>
  </si>
  <si>
    <t>$AY$36</t>
  </si>
  <si>
    <t>$AY$36&gt;=$BA$36</t>
  </si>
  <si>
    <t>$AY$37</t>
  </si>
  <si>
    <t>$AY$37&gt;=$BA$37</t>
  </si>
  <si>
    <t>$AY$38</t>
  </si>
  <si>
    <t>$AY$38&gt;=$BA$38</t>
  </si>
  <si>
    <t>$AY$39</t>
  </si>
  <si>
    <t>$AY$39&gt;=$BA$39</t>
  </si>
  <si>
    <t>$AY$40</t>
  </si>
  <si>
    <t>$AY$40&gt;=$BA$40</t>
  </si>
  <si>
    <t>$AY$41</t>
  </si>
  <si>
    <t>$AY$41&gt;=$BA$41</t>
  </si>
  <si>
    <t>$AY$42</t>
  </si>
  <si>
    <t>$AY$42&gt;=$BA$42</t>
  </si>
  <si>
    <t>$AY$43</t>
  </si>
  <si>
    <t>$AY$43&gt;=$BA$43</t>
  </si>
  <si>
    <t>$AY$44</t>
  </si>
  <si>
    <t>$AY$44&gt;=$BA$44</t>
  </si>
  <si>
    <t>$AY$45</t>
  </si>
  <si>
    <t>$AY$45&gt;=$BA$45</t>
  </si>
  <si>
    <t>$AY$46</t>
  </si>
  <si>
    <t>$AY$46&gt;=$BA$46</t>
  </si>
  <si>
    <t>$AY$47</t>
  </si>
  <si>
    <t>$AY$47&gt;=$BA$47</t>
  </si>
  <si>
    <t>$AY$48</t>
  </si>
  <si>
    <t>$AY$48&gt;=$BA$48</t>
  </si>
  <si>
    <t>$AY$49</t>
  </si>
  <si>
    <t>$AY$49&gt;=$BA$49</t>
  </si>
  <si>
    <t>$AY$50</t>
  </si>
  <si>
    <t>$AY$50&gt;=$BA$50</t>
  </si>
  <si>
    <t>$AY$51</t>
  </si>
  <si>
    <t>$AY$51&gt;=$BA$51</t>
  </si>
  <si>
    <t>$AY$52</t>
  </si>
  <si>
    <t>$AY$52&gt;=$BA$52</t>
  </si>
  <si>
    <t>$AY$53</t>
  </si>
  <si>
    <t>$AY$53&gt;=$BA$53</t>
  </si>
  <si>
    <t>$AY$54</t>
  </si>
  <si>
    <t>$AY$54&gt;=$BA$54</t>
  </si>
  <si>
    <t>$AY$55</t>
  </si>
  <si>
    <t>$AY$55&gt;=$BA$55</t>
  </si>
  <si>
    <t>$AY$56</t>
  </si>
  <si>
    <t>$AY$56&gt;=$BA$56</t>
  </si>
  <si>
    <t>$AY$57</t>
  </si>
  <si>
    <t>$AY$57&gt;=$BA$57</t>
  </si>
  <si>
    <t>$AY$58</t>
  </si>
  <si>
    <t>$AY$58&gt;=$BA$58</t>
  </si>
  <si>
    <t>$AY$59</t>
  </si>
  <si>
    <t>$AY$59&gt;=$BA$59</t>
  </si>
  <si>
    <t>$AY$60</t>
  </si>
  <si>
    <t>$AY$60&gt;=$BA$60</t>
  </si>
  <si>
    <t>$AY$61</t>
  </si>
  <si>
    <t>$AY$61&lt;=$BA$61</t>
  </si>
  <si>
    <t>$AY$62</t>
  </si>
  <si>
    <t>$AY$62&lt;=$BA$62</t>
  </si>
  <si>
    <t>$AY$63</t>
  </si>
  <si>
    <t>$AY$63&lt;=$BA$63</t>
  </si>
  <si>
    <t>$AY$64</t>
  </si>
  <si>
    <t>$AY$64&lt;=$BA$64</t>
  </si>
  <si>
    <t>$AY$65</t>
  </si>
  <si>
    <t>$AY$65&lt;=$BA$65</t>
  </si>
  <si>
    <t>$AY$66</t>
  </si>
  <si>
    <t>$AY$66&lt;=$BA$66</t>
  </si>
  <si>
    <t>$AY$67</t>
  </si>
  <si>
    <t>$AY$67&lt;=$BA$67</t>
  </si>
  <si>
    <t>$AY$68</t>
  </si>
  <si>
    <t>$AY$68&lt;=$BA$68</t>
  </si>
  <si>
    <t>$AY$69</t>
  </si>
  <si>
    <t>$AY$69&lt;=$BA$69</t>
  </si>
  <si>
    <t>$AY$70</t>
  </si>
  <si>
    <t>$AY$70&lt;=$BA$70</t>
  </si>
  <si>
    <t>$AY$71</t>
  </si>
  <si>
    <t>$AY$71&lt;=$BA$71</t>
  </si>
  <si>
    <t>$AY$72</t>
  </si>
  <si>
    <t>$AY$72&lt;=$BA$72</t>
  </si>
  <si>
    <t>$AY$73</t>
  </si>
  <si>
    <t>$AY$73&lt;=$BA$73</t>
  </si>
  <si>
    <t>$AY$74</t>
  </si>
  <si>
    <t>$AY$74&lt;=$BA$74</t>
  </si>
  <si>
    <t>$AY$75</t>
  </si>
  <si>
    <t>$AY$75&lt;=$BA$75</t>
  </si>
  <si>
    <t>$AY$76</t>
  </si>
  <si>
    <t>$AY$76&lt;=$BA$76</t>
  </si>
  <si>
    <t>$AY$77</t>
  </si>
  <si>
    <t>$AY$77&lt;=$BA$77</t>
  </si>
  <si>
    <t>$AY$78</t>
  </si>
  <si>
    <t>$AY$78&lt;=$BA$78</t>
  </si>
  <si>
    <t>$AY$79</t>
  </si>
  <si>
    <t>$AY$79&lt;=$BA$79</t>
  </si>
  <si>
    <t>$AY$80</t>
  </si>
  <si>
    <t>$AY$80&lt;=$BA$80</t>
  </si>
  <si>
    <t>$AY$81</t>
  </si>
  <si>
    <t>$AY$81&lt;=$BA$81</t>
  </si>
  <si>
    <t>$AY$82</t>
  </si>
  <si>
    <t>$AY$82&lt;=$BA$82</t>
  </si>
  <si>
    <t>$AY$83</t>
  </si>
  <si>
    <t>$AY$83&lt;=$BA$83</t>
  </si>
  <si>
    <t>$AY$84</t>
  </si>
  <si>
    <t>$AY$84&lt;=$BA$84</t>
  </si>
  <si>
    <t>$AY$85</t>
  </si>
  <si>
    <t>$AY$85&lt;=$BA$85</t>
  </si>
  <si>
    <t>$AY$86</t>
  </si>
  <si>
    <t>$AY$86&lt;=$BA$86</t>
  </si>
  <si>
    <t>$AY$87</t>
  </si>
  <si>
    <t>$AY$87&lt;=$BA$87</t>
  </si>
  <si>
    <t>$AY$88</t>
  </si>
  <si>
    <t>$AY$88&lt;=$BA$88</t>
  </si>
  <si>
    <t>$A$3:$AX$3=Integer</t>
  </si>
  <si>
    <t>Report Created: 2/10/2021 7:14:14 PM</t>
  </si>
  <si>
    <t>Solution Time: 0.234 Seconds.</t>
  </si>
  <si>
    <t>Iterations: 29 Subproblems: 58</t>
  </si>
  <si>
    <t>$AY$89</t>
  </si>
  <si>
    <t>$AY$89&lt;=$BA$89</t>
  </si>
  <si>
    <t>Report Created: 2/10/2021 7:19:17 PM</t>
  </si>
  <si>
    <t>Solution Time: 0.235 Seconds.</t>
  </si>
  <si>
    <t>Report Created: 2/10/2021 7:23:27 PM</t>
  </si>
  <si>
    <t>Iterations: 28 Subproblems: 56</t>
  </si>
  <si>
    <t>$AY$90</t>
  </si>
  <si>
    <t>$AY$90&lt;=$BA$90</t>
  </si>
  <si>
    <t>a51</t>
  </si>
  <si>
    <t>a52</t>
  </si>
  <si>
    <t>Worksheet: [Book1.xlsx]final</t>
  </si>
  <si>
    <t>Report Created: 2/19/2021 10:55:18 AM</t>
  </si>
  <si>
    <t>Solution Time: 0.375 Seconds.</t>
  </si>
  <si>
    <t>Iterations: 50 Subproblems: 100</t>
  </si>
  <si>
    <t>$BA$7</t>
  </si>
  <si>
    <t>$AY$3</t>
  </si>
  <si>
    <t>$AZ$3</t>
  </si>
  <si>
    <t>$BA$115</t>
  </si>
  <si>
    <t>$BA$115&lt;=$BC$115</t>
  </si>
  <si>
    <t>$BA$11</t>
  </si>
  <si>
    <t>$BA$11&gt;=$BC$11</t>
  </si>
  <si>
    <t>$BA$12</t>
  </si>
  <si>
    <t>$BA$12&gt;=$BC$12</t>
  </si>
  <si>
    <t>$BA$13</t>
  </si>
  <si>
    <t>$BA$13&gt;=$BC$13</t>
  </si>
  <si>
    <t>$BA$14</t>
  </si>
  <si>
    <t>$BA$14&gt;=$BC$14</t>
  </si>
  <si>
    <t>$BA$15</t>
  </si>
  <si>
    <t>$BA$15&gt;=$BC$15</t>
  </si>
  <si>
    <t>$BA$16</t>
  </si>
  <si>
    <t>$BA$16&gt;=$BC$16</t>
  </si>
  <si>
    <t>$BA$17</t>
  </si>
  <si>
    <t>$BA$17&gt;=$BC$17</t>
  </si>
  <si>
    <t>$BA$18</t>
  </si>
  <si>
    <t>$BA$18&gt;=$BC$18</t>
  </si>
  <si>
    <t>$BA$19</t>
  </si>
  <si>
    <t>$BA$19&gt;=$BC$19</t>
  </si>
  <si>
    <t>$BA$20</t>
  </si>
  <si>
    <t>$BA$20&gt;=$BC$20</t>
  </si>
  <si>
    <t>$BA$21</t>
  </si>
  <si>
    <t>$BA$21&gt;=$BC$21</t>
  </si>
  <si>
    <t>$BA$22</t>
  </si>
  <si>
    <t>$BA$22&gt;=$BC$22</t>
  </si>
  <si>
    <t>$BA$23</t>
  </si>
  <si>
    <t>$BA$23&gt;=$BC$23</t>
  </si>
  <si>
    <t>$BA$24</t>
  </si>
  <si>
    <t>$BA$24&gt;=$BC$24</t>
  </si>
  <si>
    <t>$BA$25</t>
  </si>
  <si>
    <t>$BA$25&gt;=$BC$25</t>
  </si>
  <si>
    <t>$BA$26</t>
  </si>
  <si>
    <t>$BA$26&gt;=$BC$26</t>
  </si>
  <si>
    <t>$BA$27</t>
  </si>
  <si>
    <t>$BA$27&gt;=$BC$27</t>
  </si>
  <si>
    <t>$BA$28</t>
  </si>
  <si>
    <t>$BA$28&gt;=$BC$28</t>
  </si>
  <si>
    <t>$BA$29</t>
  </si>
  <si>
    <t>$BA$29&gt;=$BC$29</t>
  </si>
  <si>
    <t>$BA$30</t>
  </si>
  <si>
    <t>$BA$30&gt;=$BC$30</t>
  </si>
  <si>
    <t>$BA$31</t>
  </si>
  <si>
    <t>$BA$31&gt;=$BC$31</t>
  </si>
  <si>
    <t>$BA$32</t>
  </si>
  <si>
    <t>$BA$32&gt;=$BC$32</t>
  </si>
  <si>
    <t>$BA$33</t>
  </si>
  <si>
    <t>$BA$33&gt;=$BC$33</t>
  </si>
  <si>
    <t>$BA$34</t>
  </si>
  <si>
    <t>$BA$34&gt;=$BC$34</t>
  </si>
  <si>
    <t>$BA$35</t>
  </si>
  <si>
    <t>$BA$35&gt;=$BC$35</t>
  </si>
  <si>
    <t>$BA$36</t>
  </si>
  <si>
    <t>$BA$36&gt;=$BC$36</t>
  </si>
  <si>
    <t>$BA$37</t>
  </si>
  <si>
    <t>$BA$37&gt;=$BC$37</t>
  </si>
  <si>
    <t>$BA$38</t>
  </si>
  <si>
    <t>$BA$38&gt;=$BC$38</t>
  </si>
  <si>
    <t>$BA$39</t>
  </si>
  <si>
    <t>$BA$39&gt;=$BC$39</t>
  </si>
  <si>
    <t>$BA$40</t>
  </si>
  <si>
    <t>$BA$40&gt;=$BC$40</t>
  </si>
  <si>
    <t>$BA$41</t>
  </si>
  <si>
    <t>$BA$41&gt;=$BC$41</t>
  </si>
  <si>
    <t>$BA$42</t>
  </si>
  <si>
    <t>$BA$42&gt;=$BC$42</t>
  </si>
  <si>
    <t>$BA$43</t>
  </si>
  <si>
    <t>$BA$43&gt;=$BC$43</t>
  </si>
  <si>
    <t>$BA$44</t>
  </si>
  <si>
    <t>$BA$44&gt;=$BC$44</t>
  </si>
  <si>
    <t>$BA$45</t>
  </si>
  <si>
    <t>$BA$45&gt;=$BC$45</t>
  </si>
  <si>
    <t>$BA$46</t>
  </si>
  <si>
    <t>$BA$46&gt;=$BC$46</t>
  </si>
  <si>
    <t>$BA$47</t>
  </si>
  <si>
    <t>$BA$47&gt;=$BC$47</t>
  </si>
  <si>
    <t>$BA$48</t>
  </si>
  <si>
    <t>$BA$48&gt;=$BC$48</t>
  </si>
  <si>
    <t>$BA$49</t>
  </si>
  <si>
    <t>$BA$49&gt;=$BC$49</t>
  </si>
  <si>
    <t>$BA$50</t>
  </si>
  <si>
    <t>$BA$50&gt;=$BC$50</t>
  </si>
  <si>
    <t>$BA$51</t>
  </si>
  <si>
    <t>$BA$51&gt;=$BC$51</t>
  </si>
  <si>
    <t>$BA$52</t>
  </si>
  <si>
    <t>$BA$52&gt;=$BC$52</t>
  </si>
  <si>
    <t>$BA$53</t>
  </si>
  <si>
    <t>$BA$53&gt;=$BC$53</t>
  </si>
  <si>
    <t>$BA$54</t>
  </si>
  <si>
    <t>$BA$54&gt;=$BC$54</t>
  </si>
  <si>
    <t>$BA$55</t>
  </si>
  <si>
    <t>$BA$55&gt;=$BC$55</t>
  </si>
  <si>
    <t>$BA$56</t>
  </si>
  <si>
    <t>$BA$56&gt;=$BC$56</t>
  </si>
  <si>
    <t>$BA$57</t>
  </si>
  <si>
    <t>$BA$57&gt;=$BC$57</t>
  </si>
  <si>
    <t>$BA$58</t>
  </si>
  <si>
    <t>$BA$58&gt;=$BC$58</t>
  </si>
  <si>
    <t>$BA$59</t>
  </si>
  <si>
    <t>$BA$59&gt;=$BC$59</t>
  </si>
  <si>
    <t>$BA$60</t>
  </si>
  <si>
    <t>$BA$60&gt;=$BC$60</t>
  </si>
  <si>
    <t>$BA$61</t>
  </si>
  <si>
    <t>$BA$61&gt;=$BC$61</t>
  </si>
  <si>
    <t>$BA$62</t>
  </si>
  <si>
    <t>$BA$62&gt;=$BC$62</t>
  </si>
  <si>
    <t>$A$3:$AZ$3=Integer</t>
  </si>
  <si>
    <t>Report Created: 2/19/2021 11:01:06 AM</t>
  </si>
  <si>
    <t>Solution Time: 0.187 Seconds.</t>
  </si>
  <si>
    <t>Iterations: 15 Subproblems: 30</t>
  </si>
  <si>
    <t>$BA$63</t>
  </si>
  <si>
    <t>$BA$63&lt;=$BC$63</t>
  </si>
  <si>
    <t>$BA$64</t>
  </si>
  <si>
    <t>$BA$64&lt;=$BC$64</t>
  </si>
  <si>
    <t>$BA$65</t>
  </si>
  <si>
    <t>$BA$65&lt;=$BC$65</t>
  </si>
  <si>
    <t>$BA$66</t>
  </si>
  <si>
    <t>$BA$66&lt;=$BC$66</t>
  </si>
  <si>
    <t>$BA$67</t>
  </si>
  <si>
    <t>$BA$67&lt;=$BC$67</t>
  </si>
  <si>
    <t>$BA$68</t>
  </si>
  <si>
    <t>$BA$68&lt;=$BC$68</t>
  </si>
  <si>
    <t>$BA$69</t>
  </si>
  <si>
    <t>$BA$69&lt;=$BC$69</t>
  </si>
  <si>
    <t>$BA$70</t>
  </si>
  <si>
    <t>$BA$70&lt;=$BC$70</t>
  </si>
  <si>
    <t>$BA$71</t>
  </si>
  <si>
    <t>$BA$71&lt;=$BC$71</t>
  </si>
  <si>
    <t>$BA$72</t>
  </si>
  <si>
    <t>$BA$72&lt;=$BC$72</t>
  </si>
  <si>
    <t>$BA$73</t>
  </si>
  <si>
    <t>$BA$73&lt;=$BC$73</t>
  </si>
  <si>
    <t>$BA$74</t>
  </si>
  <si>
    <t>$BA$74&lt;=$BC$74</t>
  </si>
  <si>
    <t>$BA$75</t>
  </si>
  <si>
    <t>$BA$75&lt;=$BC$75</t>
  </si>
  <si>
    <t>$BA$76</t>
  </si>
  <si>
    <t>$BA$76&lt;=$BC$76</t>
  </si>
  <si>
    <t>$BA$77</t>
  </si>
  <si>
    <t>$BA$77&lt;=$BC$77</t>
  </si>
  <si>
    <t>$BA$78</t>
  </si>
  <si>
    <t>$BA$78&lt;=$BC$78</t>
  </si>
  <si>
    <t>$BA$79</t>
  </si>
  <si>
    <t>$BA$79&lt;=$BC$79</t>
  </si>
  <si>
    <t>$BA$80</t>
  </si>
  <si>
    <t>$BA$80&lt;=$BC$80</t>
  </si>
  <si>
    <t>$BA$81</t>
  </si>
  <si>
    <t>$BA$81&lt;=$BC$81</t>
  </si>
  <si>
    <t>$BA$82</t>
  </si>
  <si>
    <t>$BA$82&lt;=$BC$82</t>
  </si>
  <si>
    <t>$BA$83</t>
  </si>
  <si>
    <t>$BA$83&lt;=$BC$83</t>
  </si>
  <si>
    <t>$BA$84</t>
  </si>
  <si>
    <t>$BA$84&lt;=$BC$84</t>
  </si>
  <si>
    <t>$BA$85</t>
  </si>
  <si>
    <t>$BA$85&lt;=$BC$85</t>
  </si>
  <si>
    <t>$BA$86</t>
  </si>
  <si>
    <t>$BA$86&lt;=$BC$86</t>
  </si>
  <si>
    <t>$BA$87</t>
  </si>
  <si>
    <t>$BA$87&lt;=$BC$87</t>
  </si>
  <si>
    <t>$BA$88</t>
  </si>
  <si>
    <t>$BA$88&lt;=$BC$88</t>
  </si>
  <si>
    <t>$BA$89</t>
  </si>
  <si>
    <t>$BA$89&lt;=$BC$89</t>
  </si>
  <si>
    <t>$BA$90</t>
  </si>
  <si>
    <t>$BA$90&lt;=$BC$90</t>
  </si>
  <si>
    <t>$BA$91</t>
  </si>
  <si>
    <t>$BA$91&lt;=$BC$91</t>
  </si>
  <si>
    <t>$BA$92</t>
  </si>
  <si>
    <t>$BA$92&lt;=$BC$92</t>
  </si>
  <si>
    <t>$BA$93</t>
  </si>
  <si>
    <t>$BA$93&lt;=$BC$93</t>
  </si>
  <si>
    <t>$BA$94</t>
  </si>
  <si>
    <t>$BA$94&lt;=$BC$94</t>
  </si>
  <si>
    <t>$BA$95</t>
  </si>
  <si>
    <t>$BA$95&lt;=$BC$95</t>
  </si>
  <si>
    <t>$BA$96</t>
  </si>
  <si>
    <t>$BA$96&lt;=$BC$96</t>
  </si>
  <si>
    <t>$BA$97</t>
  </si>
  <si>
    <t>$BA$97&lt;=$BC$97</t>
  </si>
  <si>
    <t>$BA$98</t>
  </si>
  <si>
    <t>$BA$98&lt;=$BC$98</t>
  </si>
  <si>
    <t>$BA$99</t>
  </si>
  <si>
    <t>$BA$99&lt;=$BC$99</t>
  </si>
  <si>
    <t>$BA$100</t>
  </si>
  <si>
    <t>$BA$100&lt;=$BC$100</t>
  </si>
  <si>
    <t>$BA$101</t>
  </si>
  <si>
    <t>$BA$101&lt;=$BC$101</t>
  </si>
  <si>
    <t>$BA$102</t>
  </si>
  <si>
    <t>$BA$102&lt;=$BC$102</t>
  </si>
  <si>
    <t>$BA$103</t>
  </si>
  <si>
    <t>$BA$103&lt;=$BC$103</t>
  </si>
  <si>
    <t>$BA$104</t>
  </si>
  <si>
    <t>$BA$104&lt;=$BC$104</t>
  </si>
  <si>
    <t>Report Created: 2/19/2021 11:03:55 AM</t>
  </si>
  <si>
    <t>Solution Time: 0.218 Seconds.</t>
  </si>
  <si>
    <t>Iterations: 21 Subproblems: 42</t>
  </si>
  <si>
    <t>Report Created: 2/19/2021 11:29:47 AM</t>
  </si>
  <si>
    <t>Iterations: 22 Subproblems: 44</t>
  </si>
  <si>
    <t>Worksheet: [Book1.xlsx]new</t>
  </si>
  <si>
    <t>Report Created: 6/2/2021 7:04:15 PM</t>
  </si>
  <si>
    <t>Solution Time: 0.031 Seconds.</t>
  </si>
  <si>
    <t>Iterations: 6 Subproblems: 10</t>
  </si>
  <si>
    <t>$U$7</t>
  </si>
  <si>
    <t>$U$12</t>
  </si>
  <si>
    <t>$U$12&gt;=$W$12</t>
  </si>
  <si>
    <t>$U$13</t>
  </si>
  <si>
    <t>$U$13&gt;=$W$13</t>
  </si>
  <si>
    <t>$U$14</t>
  </si>
  <si>
    <t>$U$14&gt;=$W$14</t>
  </si>
  <si>
    <t>$U$15</t>
  </si>
  <si>
    <t>$U$15&gt;=$W$15</t>
  </si>
  <si>
    <t>$U$16</t>
  </si>
  <si>
    <t>$U$16&gt;=$W$16</t>
  </si>
  <si>
    <t>$U$17</t>
  </si>
  <si>
    <t>$U$17&gt;=$W$17</t>
  </si>
  <si>
    <t>$U$18</t>
  </si>
  <si>
    <t>$U$18&gt;=$W$18</t>
  </si>
  <si>
    <t>$U$19</t>
  </si>
  <si>
    <t>$U$19&gt;=$W$19</t>
  </si>
  <si>
    <t>$U$20</t>
  </si>
  <si>
    <t>$U$20&gt;=$W$20</t>
  </si>
  <si>
    <t>$U$21</t>
  </si>
  <si>
    <t>$U$21&gt;=$W$21</t>
  </si>
  <si>
    <t>$U$22</t>
  </si>
  <si>
    <t>$U$22&gt;=$W$22</t>
  </si>
  <si>
    <t>$U$23</t>
  </si>
  <si>
    <t>$U$23&gt;=$W$23</t>
  </si>
  <si>
    <t>$U$24</t>
  </si>
  <si>
    <t>$U$24&gt;=$W$24</t>
  </si>
  <si>
    <t>$U$25</t>
  </si>
  <si>
    <t>$U$25&gt;=$W$25</t>
  </si>
  <si>
    <t>$U$26</t>
  </si>
  <si>
    <t>$U$26&gt;=$W$26</t>
  </si>
  <si>
    <t>$U$27</t>
  </si>
  <si>
    <t>$U$27&gt;=$W$27</t>
  </si>
  <si>
    <t>$U$28</t>
  </si>
  <si>
    <t>$U$28&gt;=$W$28</t>
  </si>
  <si>
    <t>$U$29</t>
  </si>
  <si>
    <t>$U$29&gt;=$W$29</t>
  </si>
  <si>
    <t>$U$30</t>
  </si>
  <si>
    <t>$U$30&gt;=$W$30</t>
  </si>
  <si>
    <t>$U$31</t>
  </si>
  <si>
    <t>$U$31&gt;=$W$31</t>
  </si>
  <si>
    <t>$U$32</t>
  </si>
  <si>
    <t>$U$32&lt;=$W$32</t>
  </si>
  <si>
    <t>$U$33</t>
  </si>
  <si>
    <t>$U$33&lt;=$W$33</t>
  </si>
  <si>
    <t>$U$34</t>
  </si>
  <si>
    <t>$U$34&lt;=$W$34</t>
  </si>
  <si>
    <t>$U$35</t>
  </si>
  <si>
    <t>$U$35&lt;=$W$35</t>
  </si>
  <si>
    <t>$U$36</t>
  </si>
  <si>
    <t>$U$36&lt;=$W$36</t>
  </si>
  <si>
    <t>$U$37</t>
  </si>
  <si>
    <t>$U$37&lt;=$W$37</t>
  </si>
  <si>
    <t>$U$38</t>
  </si>
  <si>
    <t>$U$38&lt;=$W$38</t>
  </si>
  <si>
    <t>$U$39</t>
  </si>
  <si>
    <t>$U$39&lt;=$W$39</t>
  </si>
  <si>
    <t>$U$40</t>
  </si>
  <si>
    <t>$U$40&lt;=$W$40</t>
  </si>
  <si>
    <t>$U$41</t>
  </si>
  <si>
    <t>$U$41&lt;=$W$41</t>
  </si>
  <si>
    <t>$U$42</t>
  </si>
  <si>
    <t>$U$42&lt;=$W$42</t>
  </si>
  <si>
    <t>$U$43</t>
  </si>
  <si>
    <t>$U$43&lt;=$W$43</t>
  </si>
  <si>
    <t>$U$44</t>
  </si>
  <si>
    <t>$U$44&lt;=$W$44</t>
  </si>
  <si>
    <t>$U$45</t>
  </si>
  <si>
    <t>$U$45&lt;=$W$45</t>
  </si>
  <si>
    <t>$U$46</t>
  </si>
  <si>
    <t>$U$46&lt;=$W$46</t>
  </si>
  <si>
    <t>$U$47</t>
  </si>
  <si>
    <t>$U$47&lt;=$W$47</t>
  </si>
  <si>
    <t>$U$48</t>
  </si>
  <si>
    <t>$U$48&lt;=$W$48</t>
  </si>
  <si>
    <t>$U$49</t>
  </si>
  <si>
    <t>$U$49&lt;=$W$49</t>
  </si>
  <si>
    <t>$U$50</t>
  </si>
  <si>
    <t>$U$50&lt;=$W$50</t>
  </si>
  <si>
    <t>$U$51</t>
  </si>
  <si>
    <t>$U$51&lt;=$W$51</t>
  </si>
  <si>
    <t>$U$7&lt;=75</t>
  </si>
  <si>
    <t>$A$3:$T$3=Integer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</si>
</sst>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0" xfId="0" applyFont="1"/>
    <xf numFmtId="0" fontId="0" fillId="0" borderId="3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3" fillId="0" borderId="2" xfId="0" applyFont="1" applyFill="1" applyBorder="1" applyAlignment="1">
      <alignment horizontal="center"/>
    </xf>
    <xf numFmtId="0" fontId="0" fillId="2" borderId="1" xfId="0" applyFill="1" applyBorder="1"/>
    <xf numFmtId="0" fontId="4" fillId="0" borderId="2" xfId="0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showGridLines="0" topLeftCell="A76" workbookViewId="0"/>
  </sheetViews>
  <sheetFormatPr defaultRowHeight="15" x14ac:dyDescent="0.25"/>
  <cols>
    <col min="1" max="1" width="2.125" customWidth="1"/>
    <col min="2" max="2" width="17.25" customWidth="1"/>
    <col min="3" max="3" width="5.5" customWidth="1"/>
    <col min="4" max="4" width="11.875" bestFit="1" customWidth="1"/>
    <col min="5" max="5" width="1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59</v>
      </c>
    </row>
    <row r="3" spans="1:5" x14ac:dyDescent="0.25">
      <c r="A3" s="3" t="s">
        <v>60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64</v>
      </c>
    </row>
    <row r="8" spans="1:5" x14ac:dyDescent="0.25">
      <c r="A8" s="3"/>
      <c r="B8" t="s">
        <v>65</v>
      </c>
    </row>
    <row r="9" spans="1:5" x14ac:dyDescent="0.25">
      <c r="A9" s="3" t="s">
        <v>66</v>
      </c>
    </row>
    <row r="10" spans="1:5" x14ac:dyDescent="0.25">
      <c r="B10" t="s">
        <v>67</v>
      </c>
    </row>
    <row r="11" spans="1:5" x14ac:dyDescent="0.25">
      <c r="B11" t="s">
        <v>68</v>
      </c>
    </row>
    <row r="14" spans="1:5" ht="15.75" thickBot="1" x14ac:dyDescent="0.3">
      <c r="A14" t="s">
        <v>69</v>
      </c>
    </row>
    <row r="15" spans="1:5" ht="15.75" thickBot="1" x14ac:dyDescent="0.3">
      <c r="B15" s="5" t="s">
        <v>70</v>
      </c>
      <c r="C15" s="5" t="s">
        <v>71</v>
      </c>
      <c r="D15" s="5" t="s">
        <v>72</v>
      </c>
      <c r="E15" s="5" t="s">
        <v>73</v>
      </c>
    </row>
    <row r="16" spans="1:5" ht="15.75" thickBot="1" x14ac:dyDescent="0.3">
      <c r="B16" s="4" t="s">
        <v>80</v>
      </c>
      <c r="C16" s="4" t="s">
        <v>57</v>
      </c>
      <c r="D16" s="7">
        <v>75</v>
      </c>
      <c r="E16" s="7">
        <v>74.999999999999986</v>
      </c>
    </row>
    <row r="19" spans="1:6" ht="15.75" thickBot="1" x14ac:dyDescent="0.3">
      <c r="A19" t="s">
        <v>74</v>
      </c>
    </row>
    <row r="20" spans="1:6" ht="15.75" thickBot="1" x14ac:dyDescent="0.3"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75</v>
      </c>
    </row>
    <row r="21" spans="1:6" x14ac:dyDescent="0.25">
      <c r="B21" s="6" t="s">
        <v>81</v>
      </c>
      <c r="C21" s="6" t="s">
        <v>0</v>
      </c>
      <c r="D21" s="8">
        <v>126</v>
      </c>
      <c r="E21" s="8">
        <v>126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1</v>
      </c>
      <c r="E34" s="8">
        <v>1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1</v>
      </c>
      <c r="E35" s="8">
        <v>1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3</v>
      </c>
      <c r="E36" s="8">
        <v>3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2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4</v>
      </c>
      <c r="E39" s="8">
        <v>4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5</v>
      </c>
      <c r="E40" s="8">
        <v>5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196</v>
      </c>
      <c r="E42" s="8">
        <v>10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1</v>
      </c>
      <c r="E43" s="8">
        <v>187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2</v>
      </c>
      <c r="E44" s="8">
        <v>2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6</v>
      </c>
      <c r="E45" s="8">
        <v>6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1</v>
      </c>
      <c r="E46" s="8">
        <v>1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1</v>
      </c>
      <c r="E47" s="8">
        <v>1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1</v>
      </c>
      <c r="E48" s="8">
        <v>1</v>
      </c>
      <c r="F48" s="6" t="s">
        <v>75</v>
      </c>
    </row>
    <row r="49" spans="1:7" x14ac:dyDescent="0.25">
      <c r="B49" s="6" t="s">
        <v>109</v>
      </c>
      <c r="C49" s="6" t="s">
        <v>28</v>
      </c>
      <c r="D49" s="8">
        <v>1</v>
      </c>
      <c r="E49" s="8">
        <v>1</v>
      </c>
      <c r="F49" s="6" t="s">
        <v>75</v>
      </c>
    </row>
    <row r="50" spans="1:7" ht="15.75" thickBot="1" x14ac:dyDescent="0.3">
      <c r="B50" s="4" t="s">
        <v>110</v>
      </c>
      <c r="C50" s="4" t="s">
        <v>29</v>
      </c>
      <c r="D50" s="7">
        <v>3</v>
      </c>
      <c r="E50" s="7">
        <v>3</v>
      </c>
      <c r="F50" s="4" t="s">
        <v>75</v>
      </c>
    </row>
    <row r="53" spans="1:7" ht="15.75" thickBot="1" x14ac:dyDescent="0.3">
      <c r="A53" t="s">
        <v>51</v>
      </c>
    </row>
    <row r="54" spans="1:7" ht="15.75" thickBot="1" x14ac:dyDescent="0.3">
      <c r="B54" s="5" t="s">
        <v>70</v>
      </c>
      <c r="C54" s="5" t="s">
        <v>71</v>
      </c>
      <c r="D54" s="5" t="s">
        <v>76</v>
      </c>
      <c r="E54" s="5" t="s">
        <v>77</v>
      </c>
      <c r="F54" s="5" t="s">
        <v>78</v>
      </c>
      <c r="G54" s="5" t="s">
        <v>79</v>
      </c>
    </row>
    <row r="55" spans="1:7" x14ac:dyDescent="0.25">
      <c r="B55" s="6" t="s">
        <v>111</v>
      </c>
      <c r="C55" s="6" t="s">
        <v>52</v>
      </c>
      <c r="D55" s="8">
        <v>1</v>
      </c>
      <c r="E55" s="6" t="s">
        <v>112</v>
      </c>
      <c r="F55" s="6" t="s">
        <v>113</v>
      </c>
      <c r="G55" s="6">
        <v>1</v>
      </c>
    </row>
    <row r="56" spans="1:7" x14ac:dyDescent="0.25">
      <c r="B56" s="6" t="s">
        <v>114</v>
      </c>
      <c r="C56" s="6" t="s">
        <v>52</v>
      </c>
      <c r="D56" s="8">
        <v>3</v>
      </c>
      <c r="E56" s="6" t="s">
        <v>115</v>
      </c>
      <c r="F56" s="6" t="s">
        <v>113</v>
      </c>
      <c r="G56" s="6">
        <v>17</v>
      </c>
    </row>
    <row r="57" spans="1:7" x14ac:dyDescent="0.25">
      <c r="B57" s="6" t="s">
        <v>116</v>
      </c>
      <c r="C57" s="6" t="s">
        <v>52</v>
      </c>
      <c r="D57" s="8">
        <v>1</v>
      </c>
      <c r="E57" s="6" t="s">
        <v>117</v>
      </c>
      <c r="F57" s="6" t="s">
        <v>113</v>
      </c>
      <c r="G57" s="6">
        <v>1</v>
      </c>
    </row>
    <row r="58" spans="1:7" x14ac:dyDescent="0.25">
      <c r="B58" s="6" t="s">
        <v>118</v>
      </c>
      <c r="C58" s="6" t="s">
        <v>52</v>
      </c>
      <c r="D58" s="8">
        <v>3</v>
      </c>
      <c r="E58" s="6" t="s">
        <v>119</v>
      </c>
      <c r="F58" s="6" t="s">
        <v>113</v>
      </c>
      <c r="G58" s="6">
        <v>7</v>
      </c>
    </row>
    <row r="59" spans="1:7" x14ac:dyDescent="0.25">
      <c r="B59" s="6" t="s">
        <v>120</v>
      </c>
      <c r="C59" s="6" t="s">
        <v>52</v>
      </c>
      <c r="D59" s="8">
        <v>1</v>
      </c>
      <c r="E59" s="6" t="s">
        <v>121</v>
      </c>
      <c r="F59" s="6" t="s">
        <v>113</v>
      </c>
      <c r="G59" s="6">
        <v>1</v>
      </c>
    </row>
    <row r="60" spans="1:7" x14ac:dyDescent="0.25">
      <c r="B60" s="6" t="s">
        <v>122</v>
      </c>
      <c r="C60" s="6" t="s">
        <v>52</v>
      </c>
      <c r="D60" s="8">
        <v>1</v>
      </c>
      <c r="E60" s="6" t="s">
        <v>123</v>
      </c>
      <c r="F60" s="6" t="s">
        <v>113</v>
      </c>
      <c r="G60" s="6">
        <v>1</v>
      </c>
    </row>
    <row r="61" spans="1:7" x14ac:dyDescent="0.25">
      <c r="B61" s="6" t="s">
        <v>124</v>
      </c>
      <c r="C61" s="6" t="s">
        <v>52</v>
      </c>
      <c r="D61" s="8">
        <v>10</v>
      </c>
      <c r="E61" s="6" t="s">
        <v>125</v>
      </c>
      <c r="F61" s="6" t="s">
        <v>126</v>
      </c>
      <c r="G61" s="6">
        <v>0</v>
      </c>
    </row>
    <row r="62" spans="1:7" x14ac:dyDescent="0.25">
      <c r="B62" s="6" t="s">
        <v>127</v>
      </c>
      <c r="C62" s="6" t="s">
        <v>52</v>
      </c>
      <c r="D62" s="8">
        <v>1</v>
      </c>
      <c r="E62" s="6" t="s">
        <v>128</v>
      </c>
      <c r="F62" s="6" t="s">
        <v>113</v>
      </c>
      <c r="G62" s="6">
        <v>2</v>
      </c>
    </row>
    <row r="63" spans="1:7" x14ac:dyDescent="0.25">
      <c r="B63" s="6" t="s">
        <v>129</v>
      </c>
      <c r="C63" s="6" t="s">
        <v>52</v>
      </c>
      <c r="D63" s="8">
        <v>3</v>
      </c>
      <c r="E63" s="6" t="s">
        <v>130</v>
      </c>
      <c r="F63" s="6" t="s">
        <v>126</v>
      </c>
      <c r="G63" s="6">
        <v>0</v>
      </c>
    </row>
    <row r="64" spans="1:7" x14ac:dyDescent="0.25">
      <c r="B64" s="6" t="s">
        <v>131</v>
      </c>
      <c r="C64" s="6" t="s">
        <v>52</v>
      </c>
      <c r="D64" s="8">
        <v>74.999999999999986</v>
      </c>
      <c r="E64" s="6" t="s">
        <v>132</v>
      </c>
      <c r="F64" s="6" t="s">
        <v>126</v>
      </c>
      <c r="G64" s="6">
        <v>0</v>
      </c>
    </row>
    <row r="65" spans="2:7" x14ac:dyDescent="0.25">
      <c r="B65" s="6" t="s">
        <v>133</v>
      </c>
      <c r="C65" s="6" t="s">
        <v>52</v>
      </c>
      <c r="D65" s="8">
        <v>0.31500000000000006</v>
      </c>
      <c r="E65" s="6" t="s">
        <v>134</v>
      </c>
      <c r="F65" s="6" t="s">
        <v>113</v>
      </c>
      <c r="G65" s="6">
        <v>1.6850000000000001</v>
      </c>
    </row>
    <row r="66" spans="2:7" x14ac:dyDescent="0.25">
      <c r="B66" s="6" t="s">
        <v>135</v>
      </c>
      <c r="C66" s="6" t="s">
        <v>52</v>
      </c>
      <c r="D66" s="8">
        <v>1.2500000000000002E-2</v>
      </c>
      <c r="E66" s="6" t="s">
        <v>136</v>
      </c>
      <c r="F66" s="6" t="s">
        <v>113</v>
      </c>
      <c r="G66" s="6">
        <v>1.9875</v>
      </c>
    </row>
    <row r="67" spans="2:7" x14ac:dyDescent="0.25">
      <c r="B67" s="6" t="s">
        <v>137</v>
      </c>
      <c r="C67" s="6" t="s">
        <v>52</v>
      </c>
      <c r="D67" s="8">
        <v>1.2500000000000002E-2</v>
      </c>
      <c r="E67" s="6" t="s">
        <v>138</v>
      </c>
      <c r="F67" s="6" t="s">
        <v>113</v>
      </c>
      <c r="G67" s="6">
        <v>1.9875</v>
      </c>
    </row>
    <row r="68" spans="2:7" x14ac:dyDescent="0.25">
      <c r="B68" s="6" t="s">
        <v>139</v>
      </c>
      <c r="C68" s="6" t="s">
        <v>52</v>
      </c>
      <c r="D68" s="8">
        <v>126</v>
      </c>
      <c r="E68" s="6" t="s">
        <v>140</v>
      </c>
      <c r="F68" s="6" t="s">
        <v>113</v>
      </c>
      <c r="G68" s="8">
        <v>121</v>
      </c>
    </row>
    <row r="69" spans="2:7" x14ac:dyDescent="0.25">
      <c r="B69" s="6" t="s">
        <v>141</v>
      </c>
      <c r="C69" s="6" t="s">
        <v>52</v>
      </c>
      <c r="D69" s="8">
        <v>5</v>
      </c>
      <c r="E69" s="6" t="s">
        <v>142</v>
      </c>
      <c r="F69" s="6" t="s">
        <v>126</v>
      </c>
      <c r="G69" s="8">
        <v>0</v>
      </c>
    </row>
    <row r="70" spans="2:7" x14ac:dyDescent="0.25">
      <c r="B70" s="6" t="s">
        <v>143</v>
      </c>
      <c r="C70" s="6" t="s">
        <v>52</v>
      </c>
      <c r="D70" s="8">
        <v>5</v>
      </c>
      <c r="E70" s="6" t="s">
        <v>144</v>
      </c>
      <c r="F70" s="6" t="s">
        <v>126</v>
      </c>
      <c r="G70" s="8">
        <v>0</v>
      </c>
    </row>
    <row r="71" spans="2:7" x14ac:dyDescent="0.25">
      <c r="B71" s="6" t="s">
        <v>145</v>
      </c>
      <c r="C71" s="6" t="s">
        <v>52</v>
      </c>
      <c r="D71" s="8">
        <v>4</v>
      </c>
      <c r="E71" s="6" t="s">
        <v>146</v>
      </c>
      <c r="F71" s="6" t="s">
        <v>126</v>
      </c>
      <c r="G71" s="8">
        <v>0</v>
      </c>
    </row>
    <row r="72" spans="2:7" x14ac:dyDescent="0.25">
      <c r="B72" s="6" t="s">
        <v>147</v>
      </c>
      <c r="C72" s="6" t="s">
        <v>52</v>
      </c>
      <c r="D72" s="8">
        <v>1</v>
      </c>
      <c r="E72" s="6" t="s">
        <v>148</v>
      </c>
      <c r="F72" s="6" t="s">
        <v>126</v>
      </c>
      <c r="G72" s="8">
        <v>0</v>
      </c>
    </row>
    <row r="73" spans="2:7" x14ac:dyDescent="0.25">
      <c r="B73" s="6" t="s">
        <v>149</v>
      </c>
      <c r="C73" s="6" t="s">
        <v>52</v>
      </c>
      <c r="D73" s="8">
        <v>4</v>
      </c>
      <c r="E73" s="6" t="s">
        <v>150</v>
      </c>
      <c r="F73" s="6" t="s">
        <v>126</v>
      </c>
      <c r="G73" s="8">
        <v>0</v>
      </c>
    </row>
    <row r="74" spans="2:7" x14ac:dyDescent="0.25">
      <c r="B74" s="6" t="s">
        <v>151</v>
      </c>
      <c r="C74" s="6" t="s">
        <v>52</v>
      </c>
      <c r="D74" s="8">
        <v>3</v>
      </c>
      <c r="E74" s="6" t="s">
        <v>152</v>
      </c>
      <c r="F74" s="6" t="s">
        <v>126</v>
      </c>
      <c r="G74" s="8">
        <v>0</v>
      </c>
    </row>
    <row r="75" spans="2:7" x14ac:dyDescent="0.25">
      <c r="B75" s="6" t="s">
        <v>153</v>
      </c>
      <c r="C75" s="6" t="s">
        <v>52</v>
      </c>
      <c r="D75" s="8">
        <v>3</v>
      </c>
      <c r="E75" s="6" t="s">
        <v>154</v>
      </c>
      <c r="F75" s="6" t="s">
        <v>126</v>
      </c>
      <c r="G75" s="8">
        <v>0</v>
      </c>
    </row>
    <row r="76" spans="2:7" x14ac:dyDescent="0.25">
      <c r="B76" s="6" t="s">
        <v>155</v>
      </c>
      <c r="C76" s="6" t="s">
        <v>52</v>
      </c>
      <c r="D76" s="8">
        <v>5</v>
      </c>
      <c r="E76" s="6" t="s">
        <v>156</v>
      </c>
      <c r="F76" s="6" t="s">
        <v>126</v>
      </c>
      <c r="G76" s="8">
        <v>0</v>
      </c>
    </row>
    <row r="77" spans="2:7" x14ac:dyDescent="0.25">
      <c r="B77" s="6" t="s">
        <v>157</v>
      </c>
      <c r="C77" s="6" t="s">
        <v>52</v>
      </c>
      <c r="D77" s="8">
        <v>1</v>
      </c>
      <c r="E77" s="6" t="s">
        <v>158</v>
      </c>
      <c r="F77" s="6" t="s">
        <v>126</v>
      </c>
      <c r="G77" s="8">
        <v>0</v>
      </c>
    </row>
    <row r="78" spans="2:7" x14ac:dyDescent="0.25">
      <c r="B78" s="6" t="s">
        <v>159</v>
      </c>
      <c r="C78" s="6" t="s">
        <v>52</v>
      </c>
      <c r="D78" s="8">
        <v>5</v>
      </c>
      <c r="E78" s="6" t="s">
        <v>160</v>
      </c>
      <c r="F78" s="6" t="s">
        <v>126</v>
      </c>
      <c r="G78" s="8">
        <v>0</v>
      </c>
    </row>
    <row r="79" spans="2:7" x14ac:dyDescent="0.25">
      <c r="B79" s="6" t="s">
        <v>161</v>
      </c>
      <c r="C79" s="6" t="s">
        <v>52</v>
      </c>
      <c r="D79" s="8">
        <v>3</v>
      </c>
      <c r="E79" s="6" t="s">
        <v>162</v>
      </c>
      <c r="F79" s="6" t="s">
        <v>126</v>
      </c>
      <c r="G79" s="8">
        <v>0</v>
      </c>
    </row>
    <row r="80" spans="2:7" x14ac:dyDescent="0.25">
      <c r="B80" s="6" t="s">
        <v>163</v>
      </c>
      <c r="C80" s="6" t="s">
        <v>52</v>
      </c>
      <c r="D80" s="8">
        <v>5</v>
      </c>
      <c r="E80" s="6" t="s">
        <v>164</v>
      </c>
      <c r="F80" s="6" t="s">
        <v>126</v>
      </c>
      <c r="G80" s="8">
        <v>0</v>
      </c>
    </row>
    <row r="81" spans="2:7" x14ac:dyDescent="0.25">
      <c r="B81" s="6" t="s">
        <v>165</v>
      </c>
      <c r="C81" s="6" t="s">
        <v>52</v>
      </c>
      <c r="D81" s="8">
        <v>1</v>
      </c>
      <c r="E81" s="6" t="s">
        <v>166</v>
      </c>
      <c r="F81" s="6" t="s">
        <v>126</v>
      </c>
      <c r="G81" s="8">
        <v>0</v>
      </c>
    </row>
    <row r="82" spans="2:7" x14ac:dyDescent="0.25">
      <c r="B82" s="6" t="s">
        <v>167</v>
      </c>
      <c r="C82" s="6" t="s">
        <v>52</v>
      </c>
      <c r="D82" s="8">
        <v>1</v>
      </c>
      <c r="E82" s="6" t="s">
        <v>168</v>
      </c>
      <c r="F82" s="6" t="s">
        <v>126</v>
      </c>
      <c r="G82" s="8">
        <v>0</v>
      </c>
    </row>
    <row r="83" spans="2:7" x14ac:dyDescent="0.25">
      <c r="B83" s="6" t="s">
        <v>169</v>
      </c>
      <c r="C83" s="6" t="s">
        <v>52</v>
      </c>
      <c r="D83" s="8">
        <v>3</v>
      </c>
      <c r="E83" s="6" t="s">
        <v>170</v>
      </c>
      <c r="F83" s="6" t="s">
        <v>113</v>
      </c>
      <c r="G83" s="8">
        <v>1</v>
      </c>
    </row>
    <row r="84" spans="2:7" x14ac:dyDescent="0.25">
      <c r="B84" s="6" t="s">
        <v>171</v>
      </c>
      <c r="C84" s="6" t="s">
        <v>52</v>
      </c>
      <c r="D84" s="8">
        <v>20</v>
      </c>
      <c r="E84" s="6" t="s">
        <v>172</v>
      </c>
      <c r="F84" s="6" t="s">
        <v>126</v>
      </c>
      <c r="G84" s="8">
        <v>0</v>
      </c>
    </row>
    <row r="85" spans="2:7" x14ac:dyDescent="0.25">
      <c r="B85" s="6" t="s">
        <v>173</v>
      </c>
      <c r="C85" s="6" t="s">
        <v>52</v>
      </c>
      <c r="D85" s="8">
        <v>2</v>
      </c>
      <c r="E85" s="6" t="s">
        <v>174</v>
      </c>
      <c r="F85" s="6" t="s">
        <v>126</v>
      </c>
      <c r="G85" s="8">
        <v>0</v>
      </c>
    </row>
    <row r="86" spans="2:7" x14ac:dyDescent="0.25">
      <c r="B86" s="6" t="s">
        <v>175</v>
      </c>
      <c r="C86" s="6" t="s">
        <v>52</v>
      </c>
      <c r="D86" s="8">
        <v>4</v>
      </c>
      <c r="E86" s="6" t="s">
        <v>176</v>
      </c>
      <c r="F86" s="6" t="s">
        <v>126</v>
      </c>
      <c r="G86" s="8">
        <v>0</v>
      </c>
    </row>
    <row r="87" spans="2:7" x14ac:dyDescent="0.25">
      <c r="B87" s="6" t="s">
        <v>177</v>
      </c>
      <c r="C87" s="6" t="s">
        <v>52</v>
      </c>
      <c r="D87" s="8">
        <v>5</v>
      </c>
      <c r="E87" s="6" t="s">
        <v>178</v>
      </c>
      <c r="F87" s="6" t="s">
        <v>126</v>
      </c>
      <c r="G87" s="8">
        <v>0</v>
      </c>
    </row>
    <row r="88" spans="2:7" x14ac:dyDescent="0.25">
      <c r="B88" s="6" t="s">
        <v>179</v>
      </c>
      <c r="C88" s="6" t="s">
        <v>52</v>
      </c>
      <c r="D88" s="8">
        <v>2</v>
      </c>
      <c r="E88" s="6" t="s">
        <v>180</v>
      </c>
      <c r="F88" s="6" t="s">
        <v>126</v>
      </c>
      <c r="G88" s="8">
        <v>0</v>
      </c>
    </row>
    <row r="89" spans="2:7" x14ac:dyDescent="0.25">
      <c r="B89" s="6" t="s">
        <v>181</v>
      </c>
      <c r="C89" s="6" t="s">
        <v>52</v>
      </c>
      <c r="D89" s="8">
        <v>10</v>
      </c>
      <c r="E89" s="6" t="s">
        <v>182</v>
      </c>
      <c r="F89" s="6" t="s">
        <v>113</v>
      </c>
      <c r="G89" s="8">
        <v>9</v>
      </c>
    </row>
    <row r="90" spans="2:7" x14ac:dyDescent="0.25">
      <c r="B90" s="6" t="s">
        <v>183</v>
      </c>
      <c r="C90" s="6" t="s">
        <v>52</v>
      </c>
      <c r="D90" s="8">
        <v>187</v>
      </c>
      <c r="E90" s="6" t="s">
        <v>184</v>
      </c>
      <c r="F90" s="6" t="s">
        <v>113</v>
      </c>
      <c r="G90" s="8">
        <v>186</v>
      </c>
    </row>
    <row r="91" spans="2:7" x14ac:dyDescent="0.25">
      <c r="B91" s="6" t="s">
        <v>185</v>
      </c>
      <c r="C91" s="6" t="s">
        <v>52</v>
      </c>
      <c r="D91" s="8">
        <v>2</v>
      </c>
      <c r="E91" s="6" t="s">
        <v>186</v>
      </c>
      <c r="F91" s="6" t="s">
        <v>126</v>
      </c>
      <c r="G91" s="8">
        <v>0</v>
      </c>
    </row>
    <row r="92" spans="2:7" x14ac:dyDescent="0.25">
      <c r="B92" s="6" t="s">
        <v>187</v>
      </c>
      <c r="C92" s="6" t="s">
        <v>52</v>
      </c>
      <c r="D92" s="8">
        <v>6</v>
      </c>
      <c r="E92" s="6" t="s">
        <v>188</v>
      </c>
      <c r="F92" s="6" t="s">
        <v>126</v>
      </c>
      <c r="G92" s="8">
        <v>0</v>
      </c>
    </row>
    <row r="93" spans="2:7" x14ac:dyDescent="0.25">
      <c r="B93" s="6" t="s">
        <v>189</v>
      </c>
      <c r="C93" s="6" t="s">
        <v>52</v>
      </c>
      <c r="D93" s="8">
        <v>1</v>
      </c>
      <c r="E93" s="6" t="s">
        <v>190</v>
      </c>
      <c r="F93" s="6" t="s">
        <v>126</v>
      </c>
      <c r="G93" s="8">
        <v>0</v>
      </c>
    </row>
    <row r="94" spans="2:7" x14ac:dyDescent="0.25">
      <c r="B94" s="6" t="s">
        <v>191</v>
      </c>
      <c r="C94" s="6" t="s">
        <v>52</v>
      </c>
      <c r="D94" s="8">
        <v>1</v>
      </c>
      <c r="E94" s="6" t="s">
        <v>192</v>
      </c>
      <c r="F94" s="6" t="s">
        <v>126</v>
      </c>
      <c r="G94" s="8">
        <v>0</v>
      </c>
    </row>
    <row r="95" spans="2:7" x14ac:dyDescent="0.25">
      <c r="B95" s="6" t="s">
        <v>193</v>
      </c>
      <c r="C95" s="6" t="s">
        <v>52</v>
      </c>
      <c r="D95" s="8">
        <v>1</v>
      </c>
      <c r="E95" s="6" t="s">
        <v>194</v>
      </c>
      <c r="F95" s="6" t="s">
        <v>126</v>
      </c>
      <c r="G95" s="8">
        <v>0</v>
      </c>
    </row>
    <row r="96" spans="2:7" x14ac:dyDescent="0.25">
      <c r="B96" s="6" t="s">
        <v>195</v>
      </c>
      <c r="C96" s="6" t="s">
        <v>52</v>
      </c>
      <c r="D96" s="8">
        <v>1</v>
      </c>
      <c r="E96" s="6" t="s">
        <v>196</v>
      </c>
      <c r="F96" s="6" t="s">
        <v>126</v>
      </c>
      <c r="G96" s="8">
        <v>0</v>
      </c>
    </row>
    <row r="97" spans="2:7" x14ac:dyDescent="0.25">
      <c r="B97" s="6" t="s">
        <v>197</v>
      </c>
      <c r="C97" s="6" t="s">
        <v>52</v>
      </c>
      <c r="D97" s="8">
        <v>3</v>
      </c>
      <c r="E97" s="6" t="s">
        <v>198</v>
      </c>
      <c r="F97" s="6" t="s">
        <v>126</v>
      </c>
      <c r="G97" s="8">
        <v>0</v>
      </c>
    </row>
    <row r="98" spans="2:7" ht="15.75" thickBot="1" x14ac:dyDescent="0.3">
      <c r="B98" s="4" t="s">
        <v>199</v>
      </c>
      <c r="C98" s="4"/>
      <c r="D98" s="4"/>
      <c r="E98" s="4"/>
      <c r="F98" s="4"/>
      <c r="G9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5"/>
  <sheetViews>
    <sheetView topLeftCell="N1" workbookViewId="0">
      <pane ySplit="6" topLeftCell="A37" activePane="bottomLeft" state="frozen"/>
      <selection pane="bottomLeft" activeCell="F11" sqref="F11"/>
    </sheetView>
  </sheetViews>
  <sheetFormatPr defaultRowHeight="15" x14ac:dyDescent="0.25"/>
  <sheetData>
    <row r="1" spans="1:50" x14ac:dyDescent="0.25">
      <c r="A1" t="s">
        <v>50</v>
      </c>
    </row>
    <row r="2" spans="1:5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0" x14ac:dyDescent="0.25">
      <c r="A3" s="1">
        <v>126</v>
      </c>
      <c r="B3" s="1">
        <v>5</v>
      </c>
      <c r="C3" s="1">
        <v>5</v>
      </c>
      <c r="D3" s="1">
        <v>4</v>
      </c>
      <c r="E3" s="1">
        <v>1</v>
      </c>
      <c r="F3" s="1">
        <v>4</v>
      </c>
      <c r="G3" s="1">
        <v>3</v>
      </c>
      <c r="H3" s="1">
        <v>3</v>
      </c>
      <c r="I3" s="1">
        <v>5</v>
      </c>
      <c r="J3" s="1">
        <v>1</v>
      </c>
      <c r="K3" s="1">
        <v>5</v>
      </c>
      <c r="L3" s="1">
        <v>3</v>
      </c>
      <c r="M3" s="1">
        <v>5</v>
      </c>
      <c r="N3" s="1">
        <v>1</v>
      </c>
      <c r="O3" s="1">
        <v>1</v>
      </c>
      <c r="P3" s="1">
        <v>3</v>
      </c>
      <c r="Q3" s="1">
        <v>20</v>
      </c>
      <c r="R3" s="1">
        <v>2</v>
      </c>
      <c r="S3" s="1">
        <v>4</v>
      </c>
      <c r="T3" s="1">
        <v>5</v>
      </c>
      <c r="U3" s="1">
        <v>2</v>
      </c>
      <c r="V3" s="1">
        <v>10</v>
      </c>
      <c r="W3" s="1">
        <v>187</v>
      </c>
      <c r="X3" s="1">
        <v>2</v>
      </c>
      <c r="Y3" s="1">
        <v>6</v>
      </c>
      <c r="Z3" s="1">
        <v>1</v>
      </c>
      <c r="AA3" s="1">
        <v>1</v>
      </c>
      <c r="AB3" s="1">
        <v>1</v>
      </c>
      <c r="AC3" s="1">
        <v>1</v>
      </c>
      <c r="AD3" s="1">
        <v>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5" spans="1:50" x14ac:dyDescent="0.25">
      <c r="A5" t="s">
        <v>51</v>
      </c>
    </row>
    <row r="6" spans="1:5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2" t="s">
        <v>52</v>
      </c>
      <c r="AF6" s="1"/>
      <c r="AG6" s="1" t="s">
        <v>53</v>
      </c>
    </row>
    <row r="7" spans="1:50" x14ac:dyDescent="0.25">
      <c r="A7" s="1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>
        <f>SUMPRODUCT($A$3:$AD$3,A7:AD7)</f>
        <v>126</v>
      </c>
      <c r="AF7" s="1" t="s">
        <v>55</v>
      </c>
      <c r="AG7" s="1">
        <v>5</v>
      </c>
    </row>
    <row r="8" spans="1:50" x14ac:dyDescent="0.25">
      <c r="A8" s="1"/>
      <c r="B8" s="1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>
        <f t="shared" ref="AE8:AE49" si="0">SUMPRODUCT($A$3:$AD$3,A8:AD8)</f>
        <v>5</v>
      </c>
      <c r="AF8" s="1" t="s">
        <v>55</v>
      </c>
      <c r="AG8" s="1">
        <v>5</v>
      </c>
    </row>
    <row r="9" spans="1:50" x14ac:dyDescent="0.25">
      <c r="A9" s="1"/>
      <c r="B9" s="1"/>
      <c r="C9" s="1">
        <v>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>
        <f t="shared" si="0"/>
        <v>5</v>
      </c>
      <c r="AF9" s="1" t="s">
        <v>55</v>
      </c>
      <c r="AG9" s="1">
        <v>5</v>
      </c>
    </row>
    <row r="10" spans="1:50" x14ac:dyDescent="0.25">
      <c r="A10" s="1"/>
      <c r="B10" s="1"/>
      <c r="C10" s="1"/>
      <c r="D10" s="1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f t="shared" si="0"/>
        <v>4</v>
      </c>
      <c r="AF10" s="1" t="s">
        <v>55</v>
      </c>
      <c r="AG10" s="1">
        <v>4</v>
      </c>
    </row>
    <row r="11" spans="1:50" x14ac:dyDescent="0.25">
      <c r="A11" s="1"/>
      <c r="B11" s="1"/>
      <c r="C11" s="1"/>
      <c r="D11" s="1"/>
      <c r="E11" s="1">
        <v>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f t="shared" si="0"/>
        <v>1</v>
      </c>
      <c r="AF11" s="1" t="s">
        <v>55</v>
      </c>
      <c r="AG11" s="1">
        <v>1</v>
      </c>
    </row>
    <row r="12" spans="1:50" x14ac:dyDescent="0.25">
      <c r="A12" s="1"/>
      <c r="B12" s="1"/>
      <c r="C12" s="1"/>
      <c r="D12" s="1"/>
      <c r="E12" s="1"/>
      <c r="F12" s="1">
        <v>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f t="shared" si="0"/>
        <v>4</v>
      </c>
      <c r="AF12" s="1" t="s">
        <v>55</v>
      </c>
      <c r="AG12" s="1">
        <v>4</v>
      </c>
    </row>
    <row r="13" spans="1:50" x14ac:dyDescent="0.25">
      <c r="A13" s="1"/>
      <c r="B13" s="1"/>
      <c r="C13" s="1"/>
      <c r="D13" s="1"/>
      <c r="E13" s="1"/>
      <c r="F13" s="1"/>
      <c r="G13" s="1">
        <v>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>
        <f t="shared" si="0"/>
        <v>3</v>
      </c>
      <c r="AF13" s="1" t="s">
        <v>55</v>
      </c>
      <c r="AG13" s="1">
        <v>3</v>
      </c>
    </row>
    <row r="14" spans="1:50" x14ac:dyDescent="0.25">
      <c r="A14" s="1"/>
      <c r="B14" s="1"/>
      <c r="C14" s="1"/>
      <c r="D14" s="1"/>
      <c r="E14" s="1"/>
      <c r="F14" s="1"/>
      <c r="G14" s="1"/>
      <c r="H14" s="1">
        <v>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>
        <f t="shared" si="0"/>
        <v>3</v>
      </c>
      <c r="AF14" s="1" t="s">
        <v>55</v>
      </c>
      <c r="AG14" s="1">
        <v>3</v>
      </c>
    </row>
    <row r="15" spans="1:50" x14ac:dyDescent="0.25">
      <c r="A15" s="1"/>
      <c r="B15" s="1"/>
      <c r="C15" s="1"/>
      <c r="D15" s="1"/>
      <c r="E15" s="1"/>
      <c r="F15" s="1"/>
      <c r="G15" s="1"/>
      <c r="H15" s="1"/>
      <c r="I15" s="1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>
        <f t="shared" si="0"/>
        <v>5</v>
      </c>
      <c r="AF15" s="1" t="s">
        <v>55</v>
      </c>
      <c r="AG15" s="1">
        <v>5</v>
      </c>
    </row>
    <row r="16" spans="1:50" x14ac:dyDescent="0.25">
      <c r="A16" s="1"/>
      <c r="B16" s="1"/>
      <c r="C16" s="1"/>
      <c r="D16" s="1"/>
      <c r="E16" s="1"/>
      <c r="F16" s="1"/>
      <c r="G16" s="1"/>
      <c r="H16" s="1"/>
      <c r="I16" s="1"/>
      <c r="J16" s="1">
        <v>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>
        <f t="shared" si="0"/>
        <v>1</v>
      </c>
      <c r="AF16" s="1" t="s">
        <v>55</v>
      </c>
      <c r="AG16" s="1">
        <v>1</v>
      </c>
    </row>
    <row r="17" spans="1:3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>
        <f t="shared" si="0"/>
        <v>5</v>
      </c>
      <c r="AF17" s="1" t="s">
        <v>55</v>
      </c>
      <c r="AG17" s="1">
        <v>5</v>
      </c>
    </row>
    <row r="18" spans="1:3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>
        <v>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>
        <f t="shared" si="0"/>
        <v>3</v>
      </c>
      <c r="AF18" s="1" t="s">
        <v>55</v>
      </c>
      <c r="AG18" s="1">
        <v>3</v>
      </c>
    </row>
    <row r="19" spans="1:3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>
        <v>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f t="shared" si="0"/>
        <v>5</v>
      </c>
      <c r="AF19" s="1" t="s">
        <v>55</v>
      </c>
      <c r="AG19" s="1">
        <v>5</v>
      </c>
    </row>
    <row r="20" spans="1:3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>
        <f t="shared" si="0"/>
        <v>1</v>
      </c>
      <c r="AF20" s="1" t="s">
        <v>55</v>
      </c>
      <c r="AG20" s="1">
        <v>1</v>
      </c>
    </row>
    <row r="21" spans="1:3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f t="shared" si="0"/>
        <v>1</v>
      </c>
      <c r="AF21" s="1" t="s">
        <v>55</v>
      </c>
      <c r="AG21" s="1">
        <v>1</v>
      </c>
    </row>
    <row r="22" spans="1:3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>
        <f t="shared" si="0"/>
        <v>3</v>
      </c>
      <c r="AF22" s="1" t="s">
        <v>55</v>
      </c>
      <c r="AG22" s="1">
        <v>2</v>
      </c>
    </row>
    <row r="23" spans="1:3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>
        <v>1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>
        <f t="shared" si="0"/>
        <v>20</v>
      </c>
      <c r="AF23" s="1" t="s">
        <v>55</v>
      </c>
      <c r="AG23" s="1">
        <v>20</v>
      </c>
    </row>
    <row r="24" spans="1:3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1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>
        <f t="shared" si="0"/>
        <v>2</v>
      </c>
      <c r="AF24" s="1" t="s">
        <v>55</v>
      </c>
      <c r="AG24" s="1">
        <v>2</v>
      </c>
    </row>
    <row r="25" spans="1:3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>
        <v>1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>
        <f t="shared" si="0"/>
        <v>4</v>
      </c>
      <c r="AF25" s="1" t="s">
        <v>55</v>
      </c>
      <c r="AG25" s="1">
        <v>4</v>
      </c>
    </row>
    <row r="26" spans="1:3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>
        <f t="shared" si="0"/>
        <v>5</v>
      </c>
      <c r="AF26" s="1" t="s">
        <v>55</v>
      </c>
      <c r="AG26" s="1">
        <v>5</v>
      </c>
    </row>
    <row r="27" spans="1:3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>
        <v>1</v>
      </c>
      <c r="V27" s="1"/>
      <c r="W27" s="1"/>
      <c r="X27" s="1"/>
      <c r="Y27" s="1"/>
      <c r="Z27" s="1"/>
      <c r="AA27" s="1"/>
      <c r="AB27" s="1"/>
      <c r="AC27" s="1"/>
      <c r="AD27" s="1"/>
      <c r="AE27" s="1">
        <f t="shared" si="0"/>
        <v>2</v>
      </c>
      <c r="AF27" s="1" t="s">
        <v>55</v>
      </c>
      <c r="AG27" s="1">
        <v>2</v>
      </c>
    </row>
    <row r="28" spans="1:3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1</v>
      </c>
      <c r="W28" s="1"/>
      <c r="X28" s="1"/>
      <c r="Y28" s="1"/>
      <c r="Z28" s="1"/>
      <c r="AA28" s="1"/>
      <c r="AB28" s="1"/>
      <c r="AC28" s="1"/>
      <c r="AD28" s="1"/>
      <c r="AE28" s="1">
        <f t="shared" si="0"/>
        <v>10</v>
      </c>
      <c r="AF28" s="1" t="s">
        <v>55</v>
      </c>
      <c r="AG28" s="1">
        <v>1</v>
      </c>
    </row>
    <row r="29" spans="1:3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>
        <v>1</v>
      </c>
      <c r="X29" s="1"/>
      <c r="Y29" s="1"/>
      <c r="Z29" s="1"/>
      <c r="AA29" s="1"/>
      <c r="AB29" s="1"/>
      <c r="AC29" s="1"/>
      <c r="AD29" s="1"/>
      <c r="AE29" s="1">
        <f t="shared" si="0"/>
        <v>187</v>
      </c>
      <c r="AF29" s="1" t="s">
        <v>55</v>
      </c>
      <c r="AG29" s="1">
        <v>1</v>
      </c>
    </row>
    <row r="30" spans="1:3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1</v>
      </c>
      <c r="Y30" s="1"/>
      <c r="Z30" s="1"/>
      <c r="AA30" s="1"/>
      <c r="AB30" s="1"/>
      <c r="AC30" s="1"/>
      <c r="AD30" s="1"/>
      <c r="AE30" s="1">
        <f t="shared" si="0"/>
        <v>2</v>
      </c>
      <c r="AF30" s="1" t="s">
        <v>55</v>
      </c>
      <c r="AG30" s="1">
        <v>2</v>
      </c>
    </row>
    <row r="31" spans="1:3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>
        <v>1</v>
      </c>
      <c r="Z31" s="1"/>
      <c r="AA31" s="1"/>
      <c r="AB31" s="1"/>
      <c r="AC31" s="1"/>
      <c r="AD31" s="1"/>
      <c r="AE31" s="1">
        <f t="shared" si="0"/>
        <v>6</v>
      </c>
      <c r="AF31" s="1" t="s">
        <v>55</v>
      </c>
      <c r="AG31" s="1">
        <v>6</v>
      </c>
    </row>
    <row r="32" spans="1:3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>
        <v>1</v>
      </c>
      <c r="AA32" s="1"/>
      <c r="AB32" s="1"/>
      <c r="AC32" s="1"/>
      <c r="AD32" s="1"/>
      <c r="AE32" s="1">
        <f t="shared" si="0"/>
        <v>1</v>
      </c>
      <c r="AF32" s="1" t="s">
        <v>55</v>
      </c>
      <c r="AG32" s="1">
        <v>1</v>
      </c>
    </row>
    <row r="33" spans="1:3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>
        <v>1</v>
      </c>
      <c r="AB33" s="1"/>
      <c r="AC33" s="1"/>
      <c r="AD33" s="1"/>
      <c r="AE33" s="1">
        <f t="shared" si="0"/>
        <v>1</v>
      </c>
      <c r="AF33" s="1" t="s">
        <v>55</v>
      </c>
      <c r="AG33" s="1">
        <v>1</v>
      </c>
    </row>
    <row r="34" spans="1:3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>
        <v>1</v>
      </c>
      <c r="AC34" s="1"/>
      <c r="AD34" s="1"/>
      <c r="AE34" s="1">
        <f t="shared" si="0"/>
        <v>1</v>
      </c>
      <c r="AF34" s="1" t="s">
        <v>55</v>
      </c>
      <c r="AG34" s="1">
        <v>1</v>
      </c>
    </row>
    <row r="35" spans="1:3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>
        <v>1</v>
      </c>
      <c r="AD35" s="1"/>
      <c r="AE35" s="1">
        <f t="shared" si="0"/>
        <v>1</v>
      </c>
      <c r="AF35" s="1" t="s">
        <v>55</v>
      </c>
      <c r="AG35" s="1">
        <v>1</v>
      </c>
    </row>
    <row r="36" spans="1:3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>
        <v>1</v>
      </c>
      <c r="AE36" s="1">
        <f t="shared" si="0"/>
        <v>3</v>
      </c>
      <c r="AF36" s="1" t="s">
        <v>55</v>
      </c>
      <c r="AG36" s="1">
        <v>3</v>
      </c>
    </row>
    <row r="37" spans="1:33" x14ac:dyDescent="0.25">
      <c r="A37" s="1"/>
      <c r="B37" s="1"/>
      <c r="C37" s="1"/>
      <c r="D37" s="1"/>
      <c r="E37" s="1">
        <v>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>
        <f t="shared" si="0"/>
        <v>1</v>
      </c>
      <c r="AF37" s="1" t="s">
        <v>54</v>
      </c>
      <c r="AG37" s="1">
        <v>2</v>
      </c>
    </row>
    <row r="38" spans="1:3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>
        <v>1</v>
      </c>
      <c r="X38" s="1"/>
      <c r="Y38" s="1"/>
      <c r="Z38" s="1"/>
      <c r="AA38" s="1"/>
      <c r="AB38" s="1"/>
      <c r="AC38" s="1"/>
      <c r="AD38" s="1"/>
      <c r="AE38" s="1">
        <f t="shared" si="0"/>
        <v>187</v>
      </c>
      <c r="AF38" s="1" t="s">
        <v>54</v>
      </c>
      <c r="AG38" s="1">
        <v>20</v>
      </c>
    </row>
    <row r="39" spans="1:33" x14ac:dyDescent="0.25">
      <c r="A39" s="1"/>
      <c r="B39" s="1"/>
      <c r="C39" s="1"/>
      <c r="D39" s="1"/>
      <c r="E39" s="1"/>
      <c r="F39" s="1"/>
      <c r="G39" s="1"/>
      <c r="H39" s="1"/>
      <c r="I39" s="1"/>
      <c r="J39" s="1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>
        <f t="shared" si="0"/>
        <v>1</v>
      </c>
      <c r="AF39" s="1" t="s">
        <v>54</v>
      </c>
      <c r="AG39" s="1">
        <v>2</v>
      </c>
    </row>
    <row r="40" spans="1:3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>
        <f t="shared" si="0"/>
        <v>3</v>
      </c>
      <c r="AF40" s="1" t="s">
        <v>54</v>
      </c>
      <c r="AG40" s="1">
        <v>10</v>
      </c>
    </row>
    <row r="41" spans="1:3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f t="shared" si="0"/>
        <v>1</v>
      </c>
      <c r="AF41" s="1" t="s">
        <v>54</v>
      </c>
      <c r="AG41" s="1">
        <v>2</v>
      </c>
    </row>
    <row r="42" spans="1:3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f t="shared" si="0"/>
        <v>1</v>
      </c>
      <c r="AF42" s="1" t="s">
        <v>54</v>
      </c>
      <c r="AG42" s="1">
        <v>2</v>
      </c>
    </row>
    <row r="43" spans="1:3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>
        <v>1</v>
      </c>
      <c r="W43" s="1"/>
      <c r="X43" s="1"/>
      <c r="Y43" s="1"/>
      <c r="Z43" s="1"/>
      <c r="AA43" s="1"/>
      <c r="AB43" s="1"/>
      <c r="AC43" s="1"/>
      <c r="AD43" s="1"/>
      <c r="AE43" s="1">
        <f t="shared" si="0"/>
        <v>10</v>
      </c>
      <c r="AF43" s="1" t="s">
        <v>54</v>
      </c>
      <c r="AG43" s="1">
        <v>10</v>
      </c>
    </row>
    <row r="44" spans="1:3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>
        <v>1</v>
      </c>
      <c r="AD44" s="1"/>
      <c r="AE44" s="1">
        <f t="shared" si="0"/>
        <v>1</v>
      </c>
      <c r="AF44" s="1" t="s">
        <v>54</v>
      </c>
      <c r="AG44" s="1">
        <v>3</v>
      </c>
    </row>
    <row r="45" spans="1:3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>
        <v>1</v>
      </c>
      <c r="AE45" s="1">
        <f t="shared" si="0"/>
        <v>3</v>
      </c>
      <c r="AF45" s="1" t="s">
        <v>54</v>
      </c>
      <c r="AG45" s="1">
        <v>3</v>
      </c>
    </row>
    <row r="46" spans="1:33" x14ac:dyDescent="0.25">
      <c r="A46" s="1">
        <f>0.05*0.05</f>
        <v>2.5000000000000005E-3</v>
      </c>
      <c r="B46" s="1">
        <f>0.05*0.05</f>
        <v>2.5000000000000005E-3</v>
      </c>
      <c r="C46" s="1">
        <f>0.05*0.05</f>
        <v>2.5000000000000005E-3</v>
      </c>
      <c r="D46" s="1">
        <f>0.05*0.05</f>
        <v>2.5000000000000005E-3</v>
      </c>
      <c r="E46" s="1">
        <f>0.15*0.15</f>
        <v>2.2499999999999999E-2</v>
      </c>
      <c r="F46" s="1">
        <f>0.08*0.08</f>
        <v>6.4000000000000003E-3</v>
      </c>
      <c r="G46" s="1">
        <f>0.1*0.1</f>
        <v>1.0000000000000002E-2</v>
      </c>
      <c r="H46" s="1">
        <f>0.08*0.08</f>
        <v>6.4000000000000003E-3</v>
      </c>
      <c r="I46" s="1">
        <f>0.1*0.1</f>
        <v>1.0000000000000002E-2</v>
      </c>
      <c r="J46" s="1">
        <f>0.25*0.25</f>
        <v>6.25E-2</v>
      </c>
      <c r="K46" s="1">
        <f>0.1*0.1</f>
        <v>1.0000000000000002E-2</v>
      </c>
      <c r="L46" s="1">
        <f>0.2*0.2</f>
        <v>4.0000000000000008E-2</v>
      </c>
      <c r="M46" s="1">
        <f>0.15*0.15</f>
        <v>2.2499999999999999E-2</v>
      </c>
      <c r="N46" s="1">
        <f>0.4*0.4</f>
        <v>0.16000000000000003</v>
      </c>
      <c r="O46" s="1">
        <f>0.4*0.4</f>
        <v>0.16000000000000003</v>
      </c>
      <c r="P46" s="1">
        <f>0.22*0.22</f>
        <v>4.8399999999999999E-2</v>
      </c>
      <c r="Q46" s="1">
        <f>0.1*0.1</f>
        <v>1.0000000000000002E-2</v>
      </c>
      <c r="R46" s="1">
        <f>0.3*0.3</f>
        <v>0.09</v>
      </c>
      <c r="S46" s="1">
        <f>0.3*0.15</f>
        <v>4.4999999999999998E-2</v>
      </c>
      <c r="T46" s="1">
        <f>0.3*0.15</f>
        <v>4.4999999999999998E-2</v>
      </c>
      <c r="U46" s="1">
        <f>0.25*0.25</f>
        <v>6.25E-2</v>
      </c>
      <c r="V46" s="1">
        <f>0.6*0.6</f>
        <v>0.36</v>
      </c>
      <c r="W46" s="1">
        <v>0.36</v>
      </c>
      <c r="X46" s="1">
        <f>0.3*0.3</f>
        <v>0.09</v>
      </c>
      <c r="Y46" s="1">
        <f>0.2*0.2</f>
        <v>4.0000000000000008E-2</v>
      </c>
      <c r="Z46" s="1">
        <f>0.5*0.5</f>
        <v>0.25</v>
      </c>
      <c r="AA46" s="1">
        <f>0.45*0.45</f>
        <v>0.20250000000000001</v>
      </c>
      <c r="AB46" s="1">
        <v>0.36</v>
      </c>
      <c r="AC46" s="1">
        <f>0.6*0.6</f>
        <v>0.36</v>
      </c>
      <c r="AD46" s="1">
        <f>0.3*0.3</f>
        <v>0.09</v>
      </c>
      <c r="AE46" s="1">
        <f t="shared" si="0"/>
        <v>74.999999999999986</v>
      </c>
      <c r="AF46" s="1" t="s">
        <v>54</v>
      </c>
      <c r="AG46" s="1">
        <v>75</v>
      </c>
    </row>
    <row r="47" spans="1:33" x14ac:dyDescent="0.25">
      <c r="A47" s="1">
        <f>0.05*0.05</f>
        <v>2.5000000000000005E-3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>
        <f t="shared" si="0"/>
        <v>0.31500000000000006</v>
      </c>
      <c r="AF47" s="1" t="s">
        <v>54</v>
      </c>
      <c r="AG47" s="1">
        <v>2</v>
      </c>
    </row>
    <row r="48" spans="1:33" x14ac:dyDescent="0.25">
      <c r="A48" s="1"/>
      <c r="B48" s="1">
        <f>0.05*0.05</f>
        <v>2.5000000000000005E-3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>
        <f t="shared" si="0"/>
        <v>1.2500000000000002E-2</v>
      </c>
      <c r="AF48" s="1" t="s">
        <v>54</v>
      </c>
      <c r="AG48" s="1">
        <v>2</v>
      </c>
    </row>
    <row r="49" spans="1:33" x14ac:dyDescent="0.25">
      <c r="A49" s="1"/>
      <c r="B49" s="1"/>
      <c r="C49" s="1">
        <f>0.05*0.05</f>
        <v>2.5000000000000005E-3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>
        <f t="shared" si="0"/>
        <v>1.2500000000000002E-2</v>
      </c>
      <c r="AF49" s="1" t="s">
        <v>54</v>
      </c>
      <c r="AG49" s="1">
        <v>2</v>
      </c>
    </row>
    <row r="51" spans="1:33" x14ac:dyDescent="0.25">
      <c r="A51" t="s">
        <v>56</v>
      </c>
    </row>
    <row r="52" spans="1:33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  <c r="M52" s="1" t="s">
        <v>12</v>
      </c>
      <c r="N52" s="1" t="s">
        <v>13</v>
      </c>
      <c r="O52" s="1" t="s">
        <v>14</v>
      </c>
      <c r="P52" s="1" t="s">
        <v>15</v>
      </c>
      <c r="Q52" s="1" t="s">
        <v>16</v>
      </c>
      <c r="R52" s="1" t="s">
        <v>17</v>
      </c>
      <c r="S52" s="1" t="s">
        <v>18</v>
      </c>
      <c r="T52" s="1" t="s">
        <v>19</v>
      </c>
      <c r="U52" s="1" t="s">
        <v>20</v>
      </c>
      <c r="V52" s="1" t="s">
        <v>21</v>
      </c>
      <c r="W52" s="1" t="s">
        <v>22</v>
      </c>
      <c r="X52" s="1" t="s">
        <v>23</v>
      </c>
      <c r="Y52" s="1" t="s">
        <v>24</v>
      </c>
      <c r="Z52" s="1" t="s">
        <v>25</v>
      </c>
      <c r="AA52" s="1" t="s">
        <v>26</v>
      </c>
      <c r="AB52" s="1" t="s">
        <v>27</v>
      </c>
      <c r="AC52" s="1" t="s">
        <v>28</v>
      </c>
      <c r="AD52" s="1" t="s">
        <v>29</v>
      </c>
      <c r="AE52" s="2" t="s">
        <v>57</v>
      </c>
    </row>
    <row r="53" spans="1:33" x14ac:dyDescent="0.25">
      <c r="A53" s="1">
        <f>0.05*0.05</f>
        <v>2.5000000000000005E-3</v>
      </c>
      <c r="B53" s="1">
        <f>0.05*0.05</f>
        <v>2.5000000000000005E-3</v>
      </c>
      <c r="C53" s="1">
        <f>0.05*0.05</f>
        <v>2.5000000000000005E-3</v>
      </c>
      <c r="D53" s="1">
        <f>0.05*0.05</f>
        <v>2.5000000000000005E-3</v>
      </c>
      <c r="E53" s="1">
        <f>0.15*0.15</f>
        <v>2.2499999999999999E-2</v>
      </c>
      <c r="F53" s="1">
        <f>0.08*0.08</f>
        <v>6.4000000000000003E-3</v>
      </c>
      <c r="G53" s="1">
        <f>0.1*0.1</f>
        <v>1.0000000000000002E-2</v>
      </c>
      <c r="H53" s="1">
        <f>0.08*0.08</f>
        <v>6.4000000000000003E-3</v>
      </c>
      <c r="I53" s="1">
        <f>0.1*0.1</f>
        <v>1.0000000000000002E-2</v>
      </c>
      <c r="J53" s="1">
        <f>0.25*0.25</f>
        <v>6.25E-2</v>
      </c>
      <c r="K53" s="1">
        <f>0.1*0.1</f>
        <v>1.0000000000000002E-2</v>
      </c>
      <c r="L53" s="1">
        <f>0.2*0.2</f>
        <v>4.0000000000000008E-2</v>
      </c>
      <c r="M53" s="1">
        <f>0.15*0.15</f>
        <v>2.2499999999999999E-2</v>
      </c>
      <c r="N53" s="1">
        <f>0.4*0.4</f>
        <v>0.16000000000000003</v>
      </c>
      <c r="O53" s="1">
        <f>0.4*0.4</f>
        <v>0.16000000000000003</v>
      </c>
      <c r="P53" s="1">
        <f>0.22*0.22</f>
        <v>4.8399999999999999E-2</v>
      </c>
      <c r="Q53" s="1">
        <f>0.1*0.1</f>
        <v>1.0000000000000002E-2</v>
      </c>
      <c r="R53" s="1">
        <f>0.3*0.3</f>
        <v>0.09</v>
      </c>
      <c r="S53" s="1">
        <f>0.3*0.15</f>
        <v>4.4999999999999998E-2</v>
      </c>
      <c r="T53" s="1">
        <f>0.3*0.15</f>
        <v>4.4999999999999998E-2</v>
      </c>
      <c r="U53" s="1">
        <f>0.25*0.25</f>
        <v>6.25E-2</v>
      </c>
      <c r="V53" s="1">
        <f>0.6*0.6</f>
        <v>0.36</v>
      </c>
      <c r="W53" s="1">
        <v>0.36</v>
      </c>
      <c r="X53" s="1">
        <f>0.3*0.3</f>
        <v>0.09</v>
      </c>
      <c r="Y53" s="1">
        <f>0.2*0.2</f>
        <v>4.0000000000000008E-2</v>
      </c>
      <c r="Z53" s="1">
        <f>0.5*0.5</f>
        <v>0.25</v>
      </c>
      <c r="AA53" s="1">
        <f>0.45*0.45</f>
        <v>0.20250000000000001</v>
      </c>
      <c r="AB53" s="1">
        <v>0.36</v>
      </c>
      <c r="AC53" s="1">
        <f>0.6*0.6</f>
        <v>0.36</v>
      </c>
      <c r="AD53" s="1">
        <f>0.3*0.3</f>
        <v>0.09</v>
      </c>
      <c r="AE53" s="1">
        <f>SUMPRODUCT($A$3:$AD$3,A53:AD53)</f>
        <v>74.999999999999986</v>
      </c>
    </row>
    <row r="55" spans="1:33" x14ac:dyDescent="0.25">
      <c r="A55">
        <f>SUMPRODUCT(A3:AD3,A53:AD53)</f>
        <v>74.999999999999986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showGridLines="0" topLeftCell="A24" workbookViewId="0"/>
  </sheetViews>
  <sheetFormatPr defaultRowHeight="15" x14ac:dyDescent="0.25"/>
  <cols>
    <col min="1" max="1" width="2.125" customWidth="1"/>
    <col min="2" max="2" width="17.125" customWidth="1"/>
    <col min="3" max="3" width="5.5" customWidth="1"/>
    <col min="4" max="4" width="11.875" bestFit="1" customWidth="1"/>
    <col min="5" max="5" width="14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203</v>
      </c>
    </row>
    <row r="3" spans="1:5" x14ac:dyDescent="0.25">
      <c r="A3" s="3" t="s">
        <v>204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205</v>
      </c>
    </row>
    <row r="8" spans="1:5" x14ac:dyDescent="0.25">
      <c r="A8" s="3"/>
      <c r="B8" t="s">
        <v>206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5" t="s">
        <v>70</v>
      </c>
      <c r="C15" s="5" t="s">
        <v>71</v>
      </c>
      <c r="D15" s="5" t="s">
        <v>72</v>
      </c>
      <c r="E15" s="5" t="s">
        <v>73</v>
      </c>
    </row>
    <row r="16" spans="1:5" ht="15.75" thickBot="1" x14ac:dyDescent="0.3">
      <c r="B16" s="4" t="s">
        <v>209</v>
      </c>
      <c r="C16" s="4" t="s">
        <v>57</v>
      </c>
      <c r="D16" s="7">
        <v>0</v>
      </c>
      <c r="E16" s="7">
        <v>74.999799999999993</v>
      </c>
    </row>
    <row r="19" spans="1:6" ht="15.75" thickBot="1" x14ac:dyDescent="0.3">
      <c r="A19" t="s">
        <v>74</v>
      </c>
    </row>
    <row r="20" spans="1:6" ht="15.75" thickBot="1" x14ac:dyDescent="0.3"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75</v>
      </c>
    </row>
    <row r="21" spans="1:6" x14ac:dyDescent="0.25">
      <c r="B21" s="6" t="s">
        <v>81</v>
      </c>
      <c r="C21" s="6" t="s">
        <v>0</v>
      </c>
      <c r="D21" s="8">
        <v>0</v>
      </c>
      <c r="E21" s="8">
        <v>52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0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0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0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0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0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0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0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0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0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0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0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0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0</v>
      </c>
      <c r="E34" s="8">
        <v>1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0</v>
      </c>
      <c r="E35" s="8">
        <v>1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0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0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0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0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0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0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0</v>
      </c>
      <c r="E43" s="8">
        <v>5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0</v>
      </c>
      <c r="E44" s="8">
        <v>5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0</v>
      </c>
      <c r="E45" s="8">
        <v>2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0</v>
      </c>
      <c r="E46" s="8">
        <v>3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0</v>
      </c>
      <c r="E47" s="8">
        <v>1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0</v>
      </c>
      <c r="E48" s="8">
        <v>5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0</v>
      </c>
      <c r="E49" s="8">
        <v>2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0</v>
      </c>
      <c r="E50" s="8">
        <v>3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0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0</v>
      </c>
      <c r="E53" s="8">
        <v>3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0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0</v>
      </c>
      <c r="E55" s="8">
        <v>2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0</v>
      </c>
      <c r="E56" s="8">
        <v>3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0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0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0</v>
      </c>
      <c r="E59" s="8">
        <v>5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0</v>
      </c>
      <c r="E60" s="8">
        <v>2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0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0</v>
      </c>
      <c r="E62" s="8">
        <v>3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0</v>
      </c>
      <c r="E63" s="8">
        <v>2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0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0</v>
      </c>
      <c r="E65" s="8">
        <v>187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0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0</v>
      </c>
      <c r="E68" s="8">
        <v>2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0</v>
      </c>
      <c r="E69" s="8">
        <v>3</v>
      </c>
      <c r="F69" s="6" t="s">
        <v>75</v>
      </c>
    </row>
    <row r="70" spans="1:7" ht="15.75" thickBot="1" x14ac:dyDescent="0.3">
      <c r="B70" s="4" t="s">
        <v>229</v>
      </c>
      <c r="C70" s="4" t="s">
        <v>49</v>
      </c>
      <c r="D70" s="7">
        <v>0</v>
      </c>
      <c r="E70" s="7">
        <v>3</v>
      </c>
      <c r="F70" s="4" t="s">
        <v>75</v>
      </c>
    </row>
    <row r="73" spans="1:7" ht="15.75" thickBot="1" x14ac:dyDescent="0.3">
      <c r="A73" t="s">
        <v>51</v>
      </c>
    </row>
    <row r="74" spans="1:7" ht="15.75" thickBot="1" x14ac:dyDescent="0.3">
      <c r="B74" s="5" t="s">
        <v>70</v>
      </c>
      <c r="C74" s="5" t="s">
        <v>71</v>
      </c>
      <c r="D74" s="5" t="s">
        <v>76</v>
      </c>
      <c r="E74" s="5" t="s">
        <v>77</v>
      </c>
      <c r="F74" s="5" t="s">
        <v>78</v>
      </c>
      <c r="G74" s="5" t="s">
        <v>79</v>
      </c>
    </row>
    <row r="75" spans="1:7" x14ac:dyDescent="0.25">
      <c r="B75" s="6" t="s">
        <v>230</v>
      </c>
      <c r="C75" s="6" t="s">
        <v>57</v>
      </c>
      <c r="D75" s="8">
        <v>52</v>
      </c>
      <c r="E75" s="6" t="s">
        <v>231</v>
      </c>
      <c r="F75" s="6" t="s">
        <v>113</v>
      </c>
      <c r="G75" s="8">
        <v>47</v>
      </c>
    </row>
    <row r="76" spans="1:7" x14ac:dyDescent="0.25">
      <c r="B76" s="6" t="s">
        <v>232</v>
      </c>
      <c r="C76" s="6" t="s">
        <v>57</v>
      </c>
      <c r="D76" s="8">
        <v>5</v>
      </c>
      <c r="E76" s="6" t="s">
        <v>233</v>
      </c>
      <c r="F76" s="6" t="s">
        <v>126</v>
      </c>
      <c r="G76" s="8">
        <v>0</v>
      </c>
    </row>
    <row r="77" spans="1:7" x14ac:dyDescent="0.25">
      <c r="B77" s="6" t="s">
        <v>234</v>
      </c>
      <c r="C77" s="6" t="s">
        <v>57</v>
      </c>
      <c r="D77" s="8">
        <v>5</v>
      </c>
      <c r="E77" s="6" t="s">
        <v>235</v>
      </c>
      <c r="F77" s="6" t="s">
        <v>126</v>
      </c>
      <c r="G77" s="8">
        <v>0</v>
      </c>
    </row>
    <row r="78" spans="1:7" x14ac:dyDescent="0.25">
      <c r="B78" s="6" t="s">
        <v>236</v>
      </c>
      <c r="C78" s="6" t="s">
        <v>57</v>
      </c>
      <c r="D78" s="8">
        <v>4</v>
      </c>
      <c r="E78" s="6" t="s">
        <v>237</v>
      </c>
      <c r="F78" s="6" t="s">
        <v>126</v>
      </c>
      <c r="G78" s="8">
        <v>0</v>
      </c>
    </row>
    <row r="79" spans="1:7" x14ac:dyDescent="0.25">
      <c r="B79" s="6" t="s">
        <v>238</v>
      </c>
      <c r="C79" s="6" t="s">
        <v>57</v>
      </c>
      <c r="D79" s="8">
        <v>1</v>
      </c>
      <c r="E79" s="6" t="s">
        <v>239</v>
      </c>
      <c r="F79" s="6" t="s">
        <v>126</v>
      </c>
      <c r="G79" s="8">
        <v>0</v>
      </c>
    </row>
    <row r="80" spans="1:7" x14ac:dyDescent="0.25">
      <c r="B80" s="6" t="s">
        <v>240</v>
      </c>
      <c r="C80" s="6" t="s">
        <v>57</v>
      </c>
      <c r="D80" s="8">
        <v>4</v>
      </c>
      <c r="E80" s="6" t="s">
        <v>241</v>
      </c>
      <c r="F80" s="6" t="s">
        <v>126</v>
      </c>
      <c r="G80" s="8">
        <v>0</v>
      </c>
    </row>
    <row r="81" spans="2:7" x14ac:dyDescent="0.25">
      <c r="B81" s="6" t="s">
        <v>242</v>
      </c>
      <c r="C81" s="6" t="s">
        <v>57</v>
      </c>
      <c r="D81" s="8">
        <v>3</v>
      </c>
      <c r="E81" s="6" t="s">
        <v>243</v>
      </c>
      <c r="F81" s="6" t="s">
        <v>126</v>
      </c>
      <c r="G81" s="8">
        <v>0</v>
      </c>
    </row>
    <row r="82" spans="2:7" x14ac:dyDescent="0.25">
      <c r="B82" s="6" t="s">
        <v>244</v>
      </c>
      <c r="C82" s="6" t="s">
        <v>57</v>
      </c>
      <c r="D82" s="8">
        <v>3</v>
      </c>
      <c r="E82" s="6" t="s">
        <v>245</v>
      </c>
      <c r="F82" s="6" t="s">
        <v>126</v>
      </c>
      <c r="G82" s="8">
        <v>0</v>
      </c>
    </row>
    <row r="83" spans="2:7" x14ac:dyDescent="0.25">
      <c r="B83" s="6" t="s">
        <v>246</v>
      </c>
      <c r="C83" s="6" t="s">
        <v>57</v>
      </c>
      <c r="D83" s="8">
        <v>5</v>
      </c>
      <c r="E83" s="6" t="s">
        <v>247</v>
      </c>
      <c r="F83" s="6" t="s">
        <v>126</v>
      </c>
      <c r="G83" s="8">
        <v>0</v>
      </c>
    </row>
    <row r="84" spans="2:7" x14ac:dyDescent="0.25">
      <c r="B84" s="6" t="s">
        <v>248</v>
      </c>
      <c r="C84" s="6" t="s">
        <v>57</v>
      </c>
      <c r="D84" s="8">
        <v>1</v>
      </c>
      <c r="E84" s="6" t="s">
        <v>249</v>
      </c>
      <c r="F84" s="6" t="s">
        <v>126</v>
      </c>
      <c r="G84" s="8">
        <v>0</v>
      </c>
    </row>
    <row r="85" spans="2:7" x14ac:dyDescent="0.25">
      <c r="B85" s="6" t="s">
        <v>250</v>
      </c>
      <c r="C85" s="6" t="s">
        <v>57</v>
      </c>
      <c r="D85" s="8">
        <v>5</v>
      </c>
      <c r="E85" s="6" t="s">
        <v>251</v>
      </c>
      <c r="F85" s="6" t="s">
        <v>126</v>
      </c>
      <c r="G85" s="8">
        <v>0</v>
      </c>
    </row>
    <row r="86" spans="2:7" x14ac:dyDescent="0.25">
      <c r="B86" s="6" t="s">
        <v>252</v>
      </c>
      <c r="C86" s="6" t="s">
        <v>57</v>
      </c>
      <c r="D86" s="8">
        <v>3</v>
      </c>
      <c r="E86" s="6" t="s">
        <v>253</v>
      </c>
      <c r="F86" s="6" t="s">
        <v>126</v>
      </c>
      <c r="G86" s="8">
        <v>0</v>
      </c>
    </row>
    <row r="87" spans="2:7" x14ac:dyDescent="0.25">
      <c r="B87" s="6" t="s">
        <v>254</v>
      </c>
      <c r="C87" s="6" t="s">
        <v>57</v>
      </c>
      <c r="D87" s="8">
        <v>5</v>
      </c>
      <c r="E87" s="6" t="s">
        <v>255</v>
      </c>
      <c r="F87" s="6" t="s">
        <v>126</v>
      </c>
      <c r="G87" s="8">
        <v>0</v>
      </c>
    </row>
    <row r="88" spans="2:7" x14ac:dyDescent="0.25">
      <c r="B88" s="6" t="s">
        <v>256</v>
      </c>
      <c r="C88" s="6" t="s">
        <v>57</v>
      </c>
      <c r="D88" s="8">
        <v>1</v>
      </c>
      <c r="E88" s="6" t="s">
        <v>257</v>
      </c>
      <c r="F88" s="6" t="s">
        <v>126</v>
      </c>
      <c r="G88" s="8">
        <v>0</v>
      </c>
    </row>
    <row r="89" spans="2:7" x14ac:dyDescent="0.25">
      <c r="B89" s="6" t="s">
        <v>258</v>
      </c>
      <c r="C89" s="6" t="s">
        <v>57</v>
      </c>
      <c r="D89" s="8">
        <v>1</v>
      </c>
      <c r="E89" s="6" t="s">
        <v>259</v>
      </c>
      <c r="F89" s="6" t="s">
        <v>126</v>
      </c>
      <c r="G89" s="8">
        <v>0</v>
      </c>
    </row>
    <row r="90" spans="2:7" x14ac:dyDescent="0.25">
      <c r="B90" s="6" t="s">
        <v>260</v>
      </c>
      <c r="C90" s="6" t="s">
        <v>57</v>
      </c>
      <c r="D90" s="8">
        <v>2</v>
      </c>
      <c r="E90" s="6" t="s">
        <v>261</v>
      </c>
      <c r="F90" s="6" t="s">
        <v>126</v>
      </c>
      <c r="G90" s="8">
        <v>0</v>
      </c>
    </row>
    <row r="91" spans="2:7" x14ac:dyDescent="0.25">
      <c r="B91" s="6" t="s">
        <v>262</v>
      </c>
      <c r="C91" s="6" t="s">
        <v>57</v>
      </c>
      <c r="D91" s="8">
        <v>20</v>
      </c>
      <c r="E91" s="6" t="s">
        <v>263</v>
      </c>
      <c r="F91" s="6" t="s">
        <v>126</v>
      </c>
      <c r="G91" s="8">
        <v>0</v>
      </c>
    </row>
    <row r="92" spans="2:7" x14ac:dyDescent="0.25">
      <c r="B92" s="6" t="s">
        <v>264</v>
      </c>
      <c r="C92" s="6" t="s">
        <v>57</v>
      </c>
      <c r="D92" s="8">
        <v>2</v>
      </c>
      <c r="E92" s="6" t="s">
        <v>265</v>
      </c>
      <c r="F92" s="6" t="s">
        <v>126</v>
      </c>
      <c r="G92" s="8">
        <v>0</v>
      </c>
    </row>
    <row r="93" spans="2:7" x14ac:dyDescent="0.25">
      <c r="B93" s="6" t="s">
        <v>266</v>
      </c>
      <c r="C93" s="6" t="s">
        <v>57</v>
      </c>
      <c r="D93" s="8">
        <v>5</v>
      </c>
      <c r="E93" s="6" t="s">
        <v>267</v>
      </c>
      <c r="F93" s="6" t="s">
        <v>126</v>
      </c>
      <c r="G93" s="8">
        <v>0</v>
      </c>
    </row>
    <row r="94" spans="2:7" x14ac:dyDescent="0.25">
      <c r="B94" s="6" t="s">
        <v>268</v>
      </c>
      <c r="C94" s="6" t="s">
        <v>57</v>
      </c>
      <c r="D94" s="8">
        <v>6</v>
      </c>
      <c r="E94" s="6" t="s">
        <v>269</v>
      </c>
      <c r="F94" s="6" t="s">
        <v>126</v>
      </c>
      <c r="G94" s="8">
        <v>0</v>
      </c>
    </row>
    <row r="95" spans="2:7" x14ac:dyDescent="0.25">
      <c r="B95" s="6" t="s">
        <v>270</v>
      </c>
      <c r="C95" s="6" t="s">
        <v>57</v>
      </c>
      <c r="D95" s="8">
        <v>2</v>
      </c>
      <c r="E95" s="6" t="s">
        <v>271</v>
      </c>
      <c r="F95" s="6" t="s">
        <v>126</v>
      </c>
      <c r="G95" s="8">
        <v>0</v>
      </c>
    </row>
    <row r="96" spans="2:7" x14ac:dyDescent="0.25">
      <c r="B96" s="6" t="s">
        <v>272</v>
      </c>
      <c r="C96" s="6" t="s">
        <v>57</v>
      </c>
      <c r="D96" s="8">
        <v>4</v>
      </c>
      <c r="E96" s="6" t="s">
        <v>273</v>
      </c>
      <c r="F96" s="6" t="s">
        <v>126</v>
      </c>
      <c r="G96" s="8">
        <v>0</v>
      </c>
    </row>
    <row r="97" spans="2:7" x14ac:dyDescent="0.25">
      <c r="B97" s="6" t="s">
        <v>274</v>
      </c>
      <c r="C97" s="6" t="s">
        <v>57</v>
      </c>
      <c r="D97" s="8">
        <v>5</v>
      </c>
      <c r="E97" s="6" t="s">
        <v>275</v>
      </c>
      <c r="F97" s="6" t="s">
        <v>113</v>
      </c>
      <c r="G97" s="8">
        <v>4</v>
      </c>
    </row>
    <row r="98" spans="2:7" x14ac:dyDescent="0.25">
      <c r="B98" s="6" t="s">
        <v>276</v>
      </c>
      <c r="C98" s="6" t="s">
        <v>57</v>
      </c>
      <c r="D98" s="8">
        <v>5</v>
      </c>
      <c r="E98" s="6" t="s">
        <v>277</v>
      </c>
      <c r="F98" s="6" t="s">
        <v>113</v>
      </c>
      <c r="G98" s="8">
        <v>4</v>
      </c>
    </row>
    <row r="99" spans="2:7" x14ac:dyDescent="0.25">
      <c r="B99" s="6" t="s">
        <v>278</v>
      </c>
      <c r="C99" s="6" t="s">
        <v>57</v>
      </c>
      <c r="D99" s="8">
        <v>2</v>
      </c>
      <c r="E99" s="6" t="s">
        <v>279</v>
      </c>
      <c r="F99" s="6" t="s">
        <v>126</v>
      </c>
      <c r="G99" s="8">
        <v>0</v>
      </c>
    </row>
    <row r="100" spans="2:7" x14ac:dyDescent="0.25">
      <c r="B100" s="6" t="s">
        <v>280</v>
      </c>
      <c r="C100" s="6" t="s">
        <v>57</v>
      </c>
      <c r="D100" s="8">
        <v>3</v>
      </c>
      <c r="E100" s="6" t="s">
        <v>281</v>
      </c>
      <c r="F100" s="6" t="s">
        <v>113</v>
      </c>
      <c r="G100" s="8">
        <v>2</v>
      </c>
    </row>
    <row r="101" spans="2:7" x14ac:dyDescent="0.25">
      <c r="B101" s="6" t="s">
        <v>282</v>
      </c>
      <c r="C101" s="6" t="s">
        <v>57</v>
      </c>
      <c r="D101" s="8">
        <v>1</v>
      </c>
      <c r="E101" s="6" t="s">
        <v>283</v>
      </c>
      <c r="F101" s="6" t="s">
        <v>126</v>
      </c>
      <c r="G101" s="8">
        <v>0</v>
      </c>
    </row>
    <row r="102" spans="2:7" x14ac:dyDescent="0.25">
      <c r="B102" s="6" t="s">
        <v>284</v>
      </c>
      <c r="C102" s="6" t="s">
        <v>57</v>
      </c>
      <c r="D102" s="8">
        <v>5</v>
      </c>
      <c r="E102" s="6" t="s">
        <v>285</v>
      </c>
      <c r="F102" s="6" t="s">
        <v>113</v>
      </c>
      <c r="G102" s="8">
        <v>4</v>
      </c>
    </row>
    <row r="103" spans="2:7" x14ac:dyDescent="0.25">
      <c r="B103" s="6" t="s">
        <v>286</v>
      </c>
      <c r="C103" s="6" t="s">
        <v>57</v>
      </c>
      <c r="D103" s="8">
        <v>2</v>
      </c>
      <c r="E103" s="6" t="s">
        <v>287</v>
      </c>
      <c r="F103" s="6" t="s">
        <v>113</v>
      </c>
      <c r="G103" s="8">
        <v>1</v>
      </c>
    </row>
    <row r="104" spans="2:7" x14ac:dyDescent="0.25">
      <c r="B104" s="6" t="s">
        <v>288</v>
      </c>
      <c r="C104" s="6" t="s">
        <v>57</v>
      </c>
      <c r="D104" s="8">
        <v>3</v>
      </c>
      <c r="E104" s="6" t="s">
        <v>289</v>
      </c>
      <c r="F104" s="6" t="s">
        <v>126</v>
      </c>
      <c r="G104" s="8">
        <v>0</v>
      </c>
    </row>
    <row r="105" spans="2:7" x14ac:dyDescent="0.25">
      <c r="B105" s="6" t="s">
        <v>290</v>
      </c>
      <c r="C105" s="6" t="s">
        <v>57</v>
      </c>
      <c r="D105" s="8">
        <v>5</v>
      </c>
      <c r="E105" s="6" t="s">
        <v>291</v>
      </c>
      <c r="F105" s="6" t="s">
        <v>126</v>
      </c>
      <c r="G105" s="8">
        <v>0</v>
      </c>
    </row>
    <row r="106" spans="2:7" x14ac:dyDescent="0.25">
      <c r="B106" s="6" t="s">
        <v>292</v>
      </c>
      <c r="C106" s="6" t="s">
        <v>57</v>
      </c>
      <c r="D106" s="8">
        <v>10</v>
      </c>
      <c r="E106" s="6" t="s">
        <v>293</v>
      </c>
      <c r="F106" s="6" t="s">
        <v>113</v>
      </c>
      <c r="G106" s="8">
        <v>9</v>
      </c>
    </row>
    <row r="107" spans="2:7" x14ac:dyDescent="0.25">
      <c r="B107" s="6" t="s">
        <v>294</v>
      </c>
      <c r="C107" s="6" t="s">
        <v>57</v>
      </c>
      <c r="D107" s="8">
        <v>3</v>
      </c>
      <c r="E107" s="6" t="s">
        <v>295</v>
      </c>
      <c r="F107" s="6" t="s">
        <v>113</v>
      </c>
      <c r="G107" s="8">
        <v>2</v>
      </c>
    </row>
    <row r="108" spans="2:7" x14ac:dyDescent="0.25">
      <c r="B108" s="6" t="s">
        <v>296</v>
      </c>
      <c r="C108" s="6" t="s">
        <v>57</v>
      </c>
      <c r="D108" s="8">
        <v>5</v>
      </c>
      <c r="E108" s="6" t="s">
        <v>297</v>
      </c>
      <c r="F108" s="6" t="s">
        <v>126</v>
      </c>
      <c r="G108" s="8">
        <v>0</v>
      </c>
    </row>
    <row r="109" spans="2:7" x14ac:dyDescent="0.25">
      <c r="B109" s="6" t="s">
        <v>298</v>
      </c>
      <c r="C109" s="6" t="s">
        <v>57</v>
      </c>
      <c r="D109" s="8">
        <v>2</v>
      </c>
      <c r="E109" s="6" t="s">
        <v>299</v>
      </c>
      <c r="F109" s="6" t="s">
        <v>113</v>
      </c>
      <c r="G109" s="8">
        <v>1</v>
      </c>
    </row>
    <row r="110" spans="2:7" x14ac:dyDescent="0.25">
      <c r="B110" s="6" t="s">
        <v>300</v>
      </c>
      <c r="C110" s="6" t="s">
        <v>57</v>
      </c>
      <c r="D110" s="8">
        <v>3</v>
      </c>
      <c r="E110" s="6" t="s">
        <v>301</v>
      </c>
      <c r="F110" s="6" t="s">
        <v>113</v>
      </c>
      <c r="G110" s="8">
        <v>2</v>
      </c>
    </row>
    <row r="111" spans="2:7" x14ac:dyDescent="0.25">
      <c r="B111" s="6" t="s">
        <v>302</v>
      </c>
      <c r="C111" s="6" t="s">
        <v>57</v>
      </c>
      <c r="D111" s="8">
        <v>5</v>
      </c>
      <c r="E111" s="6" t="s">
        <v>303</v>
      </c>
      <c r="F111" s="6" t="s">
        <v>126</v>
      </c>
      <c r="G111" s="8">
        <v>0</v>
      </c>
    </row>
    <row r="112" spans="2:7" x14ac:dyDescent="0.25">
      <c r="B112" s="6" t="s">
        <v>304</v>
      </c>
      <c r="C112" s="6" t="s">
        <v>57</v>
      </c>
      <c r="D112" s="8">
        <v>5</v>
      </c>
      <c r="E112" s="6" t="s">
        <v>305</v>
      </c>
      <c r="F112" s="6" t="s">
        <v>126</v>
      </c>
      <c r="G112" s="8">
        <v>0</v>
      </c>
    </row>
    <row r="113" spans="2:7" x14ac:dyDescent="0.25">
      <c r="B113" s="6" t="s">
        <v>306</v>
      </c>
      <c r="C113" s="6" t="s">
        <v>57</v>
      </c>
      <c r="D113" s="8">
        <v>5</v>
      </c>
      <c r="E113" s="6" t="s">
        <v>307</v>
      </c>
      <c r="F113" s="6" t="s">
        <v>126</v>
      </c>
      <c r="G113" s="8">
        <v>0</v>
      </c>
    </row>
    <row r="114" spans="2:7" x14ac:dyDescent="0.25">
      <c r="B114" s="6" t="s">
        <v>308</v>
      </c>
      <c r="C114" s="6" t="s">
        <v>57</v>
      </c>
      <c r="D114" s="8">
        <v>2</v>
      </c>
      <c r="E114" s="6" t="s">
        <v>309</v>
      </c>
      <c r="F114" s="6" t="s">
        <v>113</v>
      </c>
      <c r="G114" s="8">
        <v>1</v>
      </c>
    </row>
    <row r="115" spans="2:7" x14ac:dyDescent="0.25">
      <c r="B115" s="6" t="s">
        <v>310</v>
      </c>
      <c r="C115" s="6" t="s">
        <v>57</v>
      </c>
      <c r="D115" s="8">
        <v>2</v>
      </c>
      <c r="E115" s="6" t="s">
        <v>311</v>
      </c>
      <c r="F115" s="6" t="s">
        <v>113</v>
      </c>
      <c r="G115" s="8">
        <v>1</v>
      </c>
    </row>
    <row r="116" spans="2:7" x14ac:dyDescent="0.25">
      <c r="B116" s="6" t="s">
        <v>312</v>
      </c>
      <c r="C116" s="6" t="s">
        <v>57</v>
      </c>
      <c r="D116" s="8">
        <v>3</v>
      </c>
      <c r="E116" s="6" t="s">
        <v>313</v>
      </c>
      <c r="F116" s="6" t="s">
        <v>126</v>
      </c>
      <c r="G116" s="8">
        <v>0</v>
      </c>
    </row>
    <row r="117" spans="2:7" x14ac:dyDescent="0.25">
      <c r="B117" s="6" t="s">
        <v>314</v>
      </c>
      <c r="C117" s="6" t="s">
        <v>57</v>
      </c>
      <c r="D117" s="8">
        <v>2</v>
      </c>
      <c r="E117" s="6" t="s">
        <v>315</v>
      </c>
      <c r="F117" s="6" t="s">
        <v>113</v>
      </c>
      <c r="G117" s="8">
        <v>1</v>
      </c>
    </row>
    <row r="118" spans="2:7" x14ac:dyDescent="0.25">
      <c r="B118" s="6" t="s">
        <v>316</v>
      </c>
      <c r="C118" s="6" t="s">
        <v>57</v>
      </c>
      <c r="D118" s="8">
        <v>2</v>
      </c>
      <c r="E118" s="6" t="s">
        <v>317</v>
      </c>
      <c r="F118" s="6" t="s">
        <v>113</v>
      </c>
      <c r="G118" s="8">
        <v>1</v>
      </c>
    </row>
    <row r="119" spans="2:7" x14ac:dyDescent="0.25">
      <c r="B119" s="6" t="s">
        <v>318</v>
      </c>
      <c r="C119" s="6" t="s">
        <v>57</v>
      </c>
      <c r="D119" s="8">
        <v>187</v>
      </c>
      <c r="E119" s="6" t="s">
        <v>319</v>
      </c>
      <c r="F119" s="6" t="s">
        <v>113</v>
      </c>
      <c r="G119" s="8">
        <v>184</v>
      </c>
    </row>
    <row r="120" spans="2:7" x14ac:dyDescent="0.25">
      <c r="B120" s="6" t="s">
        <v>320</v>
      </c>
      <c r="C120" s="6" t="s">
        <v>57</v>
      </c>
      <c r="D120" s="8">
        <v>10</v>
      </c>
      <c r="E120" s="6" t="s">
        <v>321</v>
      </c>
      <c r="F120" s="6" t="s">
        <v>126</v>
      </c>
      <c r="G120" s="8">
        <v>0</v>
      </c>
    </row>
    <row r="121" spans="2:7" x14ac:dyDescent="0.25">
      <c r="B121" s="6" t="s">
        <v>322</v>
      </c>
      <c r="C121" s="6" t="s">
        <v>57</v>
      </c>
      <c r="D121" s="8">
        <v>2</v>
      </c>
      <c r="E121" s="6" t="s">
        <v>323</v>
      </c>
      <c r="F121" s="6" t="s">
        <v>113</v>
      </c>
      <c r="G121" s="8">
        <v>1</v>
      </c>
    </row>
    <row r="122" spans="2:7" x14ac:dyDescent="0.25">
      <c r="B122" s="6" t="s">
        <v>324</v>
      </c>
      <c r="C122" s="6" t="s">
        <v>57</v>
      </c>
      <c r="D122" s="8">
        <v>2</v>
      </c>
      <c r="E122" s="6" t="s">
        <v>325</v>
      </c>
      <c r="F122" s="6" t="s">
        <v>113</v>
      </c>
      <c r="G122" s="8">
        <v>1</v>
      </c>
    </row>
    <row r="123" spans="2:7" x14ac:dyDescent="0.25">
      <c r="B123" s="6" t="s">
        <v>326</v>
      </c>
      <c r="C123" s="6" t="s">
        <v>57</v>
      </c>
      <c r="D123" s="8">
        <v>3</v>
      </c>
      <c r="E123" s="6" t="s">
        <v>327</v>
      </c>
      <c r="F123" s="6" t="s">
        <v>113</v>
      </c>
      <c r="G123" s="8">
        <v>1</v>
      </c>
    </row>
    <row r="124" spans="2:7" x14ac:dyDescent="0.25">
      <c r="B124" s="6" t="s">
        <v>328</v>
      </c>
      <c r="C124" s="6" t="s">
        <v>57</v>
      </c>
      <c r="D124" s="8">
        <v>3</v>
      </c>
      <c r="E124" s="6" t="s">
        <v>329</v>
      </c>
      <c r="F124" s="6" t="s">
        <v>126</v>
      </c>
      <c r="G124" s="8">
        <v>0</v>
      </c>
    </row>
    <row r="125" spans="2:7" x14ac:dyDescent="0.25">
      <c r="B125" s="6" t="s">
        <v>330</v>
      </c>
      <c r="C125" s="6" t="s">
        <v>57</v>
      </c>
      <c r="D125" s="8">
        <v>1</v>
      </c>
      <c r="E125" s="6" t="s">
        <v>331</v>
      </c>
      <c r="F125" s="6" t="s">
        <v>113</v>
      </c>
      <c r="G125" s="6">
        <v>1</v>
      </c>
    </row>
    <row r="126" spans="2:7" x14ac:dyDescent="0.25">
      <c r="B126" s="6" t="s">
        <v>332</v>
      </c>
      <c r="C126" s="6" t="s">
        <v>57</v>
      </c>
      <c r="D126" s="8">
        <v>1</v>
      </c>
      <c r="E126" s="6" t="s">
        <v>333</v>
      </c>
      <c r="F126" s="6" t="s">
        <v>113</v>
      </c>
      <c r="G126" s="6">
        <v>1</v>
      </c>
    </row>
    <row r="127" spans="2:7" x14ac:dyDescent="0.25">
      <c r="B127" s="6" t="s">
        <v>334</v>
      </c>
      <c r="C127" s="6" t="s">
        <v>57</v>
      </c>
      <c r="D127" s="8">
        <v>1</v>
      </c>
      <c r="E127" s="6" t="s">
        <v>335</v>
      </c>
      <c r="F127" s="6" t="s">
        <v>113</v>
      </c>
      <c r="G127" s="6">
        <v>1</v>
      </c>
    </row>
    <row r="128" spans="2:7" x14ac:dyDescent="0.25">
      <c r="B128" s="6" t="s">
        <v>336</v>
      </c>
      <c r="C128" s="6" t="s">
        <v>57</v>
      </c>
      <c r="D128" s="8">
        <v>1</v>
      </c>
      <c r="E128" s="6" t="s">
        <v>337</v>
      </c>
      <c r="F128" s="6" t="s">
        <v>113</v>
      </c>
      <c r="G128" s="6">
        <v>1</v>
      </c>
    </row>
    <row r="129" spans="2:7" x14ac:dyDescent="0.25">
      <c r="B129" s="6" t="s">
        <v>338</v>
      </c>
      <c r="C129" s="6" t="s">
        <v>57</v>
      </c>
      <c r="D129" s="8">
        <v>2</v>
      </c>
      <c r="E129" s="6" t="s">
        <v>339</v>
      </c>
      <c r="F129" s="6" t="s">
        <v>113</v>
      </c>
      <c r="G129" s="6">
        <v>1</v>
      </c>
    </row>
    <row r="130" spans="2:7" x14ac:dyDescent="0.25">
      <c r="B130" s="6" t="s">
        <v>340</v>
      </c>
      <c r="C130" s="6" t="s">
        <v>57</v>
      </c>
      <c r="D130" s="8">
        <v>2</v>
      </c>
      <c r="E130" s="6" t="s">
        <v>341</v>
      </c>
      <c r="F130" s="6" t="s">
        <v>113</v>
      </c>
      <c r="G130" s="6">
        <v>8</v>
      </c>
    </row>
    <row r="131" spans="2:7" x14ac:dyDescent="0.25">
      <c r="B131" s="6" t="s">
        <v>342</v>
      </c>
      <c r="C131" s="6" t="s">
        <v>57</v>
      </c>
      <c r="D131" s="8">
        <v>5</v>
      </c>
      <c r="E131" s="6" t="s">
        <v>343</v>
      </c>
      <c r="F131" s="6" t="s">
        <v>113</v>
      </c>
      <c r="G131" s="6">
        <v>5</v>
      </c>
    </row>
    <row r="132" spans="2:7" x14ac:dyDescent="0.25">
      <c r="B132" s="6" t="s">
        <v>344</v>
      </c>
      <c r="C132" s="6" t="s">
        <v>57</v>
      </c>
      <c r="D132" s="8">
        <v>4</v>
      </c>
      <c r="E132" s="6" t="s">
        <v>345</v>
      </c>
      <c r="F132" s="6" t="s">
        <v>113</v>
      </c>
      <c r="G132" s="6">
        <v>6</v>
      </c>
    </row>
    <row r="133" spans="2:7" x14ac:dyDescent="0.25">
      <c r="B133" s="6" t="s">
        <v>346</v>
      </c>
      <c r="C133" s="6" t="s">
        <v>57</v>
      </c>
      <c r="D133" s="8">
        <v>5</v>
      </c>
      <c r="E133" s="6" t="s">
        <v>347</v>
      </c>
      <c r="F133" s="6" t="s">
        <v>126</v>
      </c>
      <c r="G133" s="6">
        <v>0</v>
      </c>
    </row>
    <row r="134" spans="2:7" x14ac:dyDescent="0.25">
      <c r="B134" s="6" t="s">
        <v>348</v>
      </c>
      <c r="C134" s="6" t="s">
        <v>57</v>
      </c>
      <c r="D134" s="8">
        <v>5</v>
      </c>
      <c r="E134" s="6" t="s">
        <v>349</v>
      </c>
      <c r="F134" s="6" t="s">
        <v>126</v>
      </c>
      <c r="G134" s="6">
        <v>0</v>
      </c>
    </row>
    <row r="135" spans="2:7" x14ac:dyDescent="0.25">
      <c r="B135" s="6" t="s">
        <v>350</v>
      </c>
      <c r="C135" s="6" t="s">
        <v>57</v>
      </c>
      <c r="D135" s="8">
        <v>3</v>
      </c>
      <c r="E135" s="6" t="s">
        <v>351</v>
      </c>
      <c r="F135" s="6" t="s">
        <v>126</v>
      </c>
      <c r="G135" s="6">
        <v>0</v>
      </c>
    </row>
    <row r="136" spans="2:7" x14ac:dyDescent="0.25">
      <c r="B136" s="6" t="s">
        <v>352</v>
      </c>
      <c r="C136" s="6" t="s">
        <v>57</v>
      </c>
      <c r="D136" s="8">
        <v>1</v>
      </c>
      <c r="E136" s="6" t="s">
        <v>353</v>
      </c>
      <c r="F136" s="6" t="s">
        <v>113</v>
      </c>
      <c r="G136" s="6">
        <v>1</v>
      </c>
    </row>
    <row r="137" spans="2:7" x14ac:dyDescent="0.25">
      <c r="B137" s="6" t="s">
        <v>354</v>
      </c>
      <c r="C137" s="6" t="s">
        <v>57</v>
      </c>
      <c r="D137" s="8">
        <v>5</v>
      </c>
      <c r="E137" s="6" t="s">
        <v>355</v>
      </c>
      <c r="F137" s="6" t="s">
        <v>126</v>
      </c>
      <c r="G137" s="6">
        <v>0</v>
      </c>
    </row>
    <row r="138" spans="2:7" x14ac:dyDescent="0.25">
      <c r="B138" s="6" t="s">
        <v>356</v>
      </c>
      <c r="C138" s="6" t="s">
        <v>57</v>
      </c>
      <c r="D138" s="8">
        <v>2</v>
      </c>
      <c r="E138" s="6" t="s">
        <v>357</v>
      </c>
      <c r="F138" s="6" t="s">
        <v>126</v>
      </c>
      <c r="G138" s="6">
        <v>0</v>
      </c>
    </row>
    <row r="139" spans="2:7" x14ac:dyDescent="0.25">
      <c r="B139" s="6" t="s">
        <v>358</v>
      </c>
      <c r="C139" s="6" t="s">
        <v>57</v>
      </c>
      <c r="D139" s="8">
        <v>3</v>
      </c>
      <c r="E139" s="6" t="s">
        <v>359</v>
      </c>
      <c r="F139" s="6" t="s">
        <v>126</v>
      </c>
      <c r="G139" s="6">
        <v>0</v>
      </c>
    </row>
    <row r="140" spans="2:7" x14ac:dyDescent="0.25">
      <c r="B140" s="6" t="s">
        <v>360</v>
      </c>
      <c r="C140" s="6" t="s">
        <v>57</v>
      </c>
      <c r="D140" s="8">
        <v>10</v>
      </c>
      <c r="E140" s="6" t="s">
        <v>361</v>
      </c>
      <c r="F140" s="6" t="s">
        <v>126</v>
      </c>
      <c r="G140" s="6">
        <v>0</v>
      </c>
    </row>
    <row r="141" spans="2:7" x14ac:dyDescent="0.25">
      <c r="B141" s="6" t="s">
        <v>362</v>
      </c>
      <c r="C141" s="6" t="s">
        <v>57</v>
      </c>
      <c r="D141" s="8">
        <v>2</v>
      </c>
      <c r="E141" s="6" t="s">
        <v>363</v>
      </c>
      <c r="F141" s="6" t="s">
        <v>126</v>
      </c>
      <c r="G141" s="6">
        <v>0</v>
      </c>
    </row>
    <row r="142" spans="2:7" x14ac:dyDescent="0.25">
      <c r="B142" s="6" t="s">
        <v>364</v>
      </c>
      <c r="C142" s="6" t="s">
        <v>57</v>
      </c>
      <c r="D142" s="8">
        <v>2</v>
      </c>
      <c r="E142" s="6" t="s">
        <v>365</v>
      </c>
      <c r="F142" s="6" t="s">
        <v>126</v>
      </c>
      <c r="G142" s="6">
        <v>0</v>
      </c>
    </row>
    <row r="143" spans="2:7" x14ac:dyDescent="0.25">
      <c r="B143" s="6" t="s">
        <v>366</v>
      </c>
      <c r="C143" s="6" t="s">
        <v>57</v>
      </c>
      <c r="D143" s="8">
        <v>2</v>
      </c>
      <c r="E143" s="6" t="s">
        <v>367</v>
      </c>
      <c r="F143" s="6" t="s">
        <v>126</v>
      </c>
      <c r="G143" s="6">
        <v>0</v>
      </c>
    </row>
    <row r="144" spans="2:7" x14ac:dyDescent="0.25">
      <c r="B144" s="6" t="s">
        <v>368</v>
      </c>
      <c r="C144" s="6" t="s">
        <v>57</v>
      </c>
      <c r="D144" s="8">
        <v>2</v>
      </c>
      <c r="E144" s="6" t="s">
        <v>369</v>
      </c>
      <c r="F144" s="6" t="s">
        <v>126</v>
      </c>
      <c r="G144" s="6">
        <v>0</v>
      </c>
    </row>
    <row r="145" spans="2:7" x14ac:dyDescent="0.25">
      <c r="B145" s="6" t="s">
        <v>370</v>
      </c>
      <c r="C145" s="6" t="s">
        <v>57</v>
      </c>
      <c r="D145" s="8">
        <v>3</v>
      </c>
      <c r="E145" s="6" t="s">
        <v>371</v>
      </c>
      <c r="F145" s="6" t="s">
        <v>126</v>
      </c>
      <c r="G145" s="6">
        <v>0</v>
      </c>
    </row>
    <row r="146" spans="2:7" x14ac:dyDescent="0.25">
      <c r="B146" s="6" t="s">
        <v>372</v>
      </c>
      <c r="C146" s="6" t="s">
        <v>57</v>
      </c>
      <c r="D146" s="8">
        <v>2</v>
      </c>
      <c r="E146" s="6" t="s">
        <v>373</v>
      </c>
      <c r="F146" s="6" t="s">
        <v>126</v>
      </c>
      <c r="G146" s="6">
        <v>0</v>
      </c>
    </row>
    <row r="147" spans="2:7" x14ac:dyDescent="0.25">
      <c r="B147" s="6" t="s">
        <v>374</v>
      </c>
      <c r="C147" s="6" t="s">
        <v>57</v>
      </c>
      <c r="D147" s="8">
        <v>10</v>
      </c>
      <c r="E147" s="6" t="s">
        <v>375</v>
      </c>
      <c r="F147" s="6" t="s">
        <v>113</v>
      </c>
      <c r="G147" s="6">
        <v>10</v>
      </c>
    </row>
    <row r="148" spans="2:7" x14ac:dyDescent="0.25">
      <c r="B148" s="6" t="s">
        <v>376</v>
      </c>
      <c r="C148" s="6" t="s">
        <v>57</v>
      </c>
      <c r="D148" s="8">
        <v>2</v>
      </c>
      <c r="E148" s="6" t="s">
        <v>377</v>
      </c>
      <c r="F148" s="6" t="s">
        <v>126</v>
      </c>
      <c r="G148" s="6">
        <v>0</v>
      </c>
    </row>
    <row r="149" spans="2:7" x14ac:dyDescent="0.25">
      <c r="B149" s="6" t="s">
        <v>378</v>
      </c>
      <c r="C149" s="6" t="s">
        <v>57</v>
      </c>
      <c r="D149" s="8">
        <v>2</v>
      </c>
      <c r="E149" s="6" t="s">
        <v>379</v>
      </c>
      <c r="F149" s="6" t="s">
        <v>126</v>
      </c>
      <c r="G149" s="6">
        <v>0</v>
      </c>
    </row>
    <row r="150" spans="2:7" x14ac:dyDescent="0.25">
      <c r="B150" s="6" t="s">
        <v>380</v>
      </c>
      <c r="C150" s="6" t="s">
        <v>57</v>
      </c>
      <c r="D150" s="8">
        <v>3</v>
      </c>
      <c r="E150" s="6" t="s">
        <v>381</v>
      </c>
      <c r="F150" s="6" t="s">
        <v>126</v>
      </c>
      <c r="G150" s="6">
        <v>0</v>
      </c>
    </row>
    <row r="151" spans="2:7" x14ac:dyDescent="0.25">
      <c r="B151" s="6" t="s">
        <v>382</v>
      </c>
      <c r="C151" s="6" t="s">
        <v>57</v>
      </c>
      <c r="D151" s="8">
        <v>3</v>
      </c>
      <c r="E151" s="6" t="s">
        <v>383</v>
      </c>
      <c r="F151" s="6" t="s">
        <v>113</v>
      </c>
      <c r="G151" s="6">
        <v>1</v>
      </c>
    </row>
    <row r="152" spans="2:7" x14ac:dyDescent="0.25">
      <c r="B152" s="6" t="s">
        <v>384</v>
      </c>
      <c r="C152" s="6" t="s">
        <v>57</v>
      </c>
      <c r="D152" s="8">
        <v>74.999799999999993</v>
      </c>
      <c r="E152" s="6" t="s">
        <v>385</v>
      </c>
      <c r="F152" s="6" t="s">
        <v>113</v>
      </c>
      <c r="G152" s="6">
        <v>2.0000000000663931E-4</v>
      </c>
    </row>
    <row r="153" spans="2:7" ht="15.75" thickBot="1" x14ac:dyDescent="0.3">
      <c r="B153" s="4" t="s">
        <v>386</v>
      </c>
      <c r="C153" s="4"/>
      <c r="D153" s="4"/>
      <c r="E153" s="4"/>
      <c r="F153" s="4"/>
      <c r="G15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showGridLines="0" topLeftCell="A62" workbookViewId="0"/>
  </sheetViews>
  <sheetFormatPr defaultRowHeight="15" x14ac:dyDescent="0.25"/>
  <cols>
    <col min="1" max="1" width="2.125" customWidth="1"/>
    <col min="2" max="2" width="17.125" customWidth="1"/>
    <col min="3" max="3" width="5.5" customWidth="1"/>
    <col min="4" max="4" width="11.875" bestFit="1" customWidth="1"/>
    <col min="5" max="5" width="14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203</v>
      </c>
    </row>
    <row r="3" spans="1:5" x14ac:dyDescent="0.25">
      <c r="A3" s="3" t="s">
        <v>387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388</v>
      </c>
    </row>
    <row r="8" spans="1:5" x14ac:dyDescent="0.25">
      <c r="A8" s="3"/>
      <c r="B8" t="s">
        <v>389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5" t="s">
        <v>70</v>
      </c>
      <c r="C15" s="5" t="s">
        <v>71</v>
      </c>
      <c r="D15" s="5" t="s">
        <v>72</v>
      </c>
      <c r="E15" s="5" t="s">
        <v>73</v>
      </c>
    </row>
    <row r="16" spans="1:5" ht="15.75" thickBot="1" x14ac:dyDescent="0.3">
      <c r="B16" s="4" t="s">
        <v>209</v>
      </c>
      <c r="C16" s="4" t="s">
        <v>57</v>
      </c>
      <c r="D16" s="7">
        <v>74.999799999999993</v>
      </c>
      <c r="E16" s="7">
        <v>74.999399999999994</v>
      </c>
    </row>
    <row r="19" spans="1:6" ht="15.75" thickBot="1" x14ac:dyDescent="0.3">
      <c r="A19" t="s">
        <v>74</v>
      </c>
    </row>
    <row r="20" spans="1:6" ht="15.75" thickBot="1" x14ac:dyDescent="0.3"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75</v>
      </c>
    </row>
    <row r="21" spans="1:6" x14ac:dyDescent="0.25">
      <c r="B21" s="6" t="s">
        <v>81</v>
      </c>
      <c r="C21" s="6" t="s">
        <v>0</v>
      </c>
      <c r="D21" s="8">
        <v>52</v>
      </c>
      <c r="E21" s="8">
        <v>39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1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1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2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2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5</v>
      </c>
      <c r="E43" s="8">
        <v>5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5</v>
      </c>
      <c r="E44" s="8">
        <v>5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2</v>
      </c>
      <c r="E45" s="8">
        <v>2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3</v>
      </c>
      <c r="E46" s="8">
        <v>3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1</v>
      </c>
      <c r="E47" s="8">
        <v>2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5</v>
      </c>
      <c r="E48" s="8">
        <v>5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2</v>
      </c>
      <c r="E49" s="8">
        <v>2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3</v>
      </c>
      <c r="E50" s="8">
        <v>3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3</v>
      </c>
      <c r="E53" s="8">
        <v>3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2</v>
      </c>
      <c r="E55" s="8">
        <v>2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3</v>
      </c>
      <c r="E56" s="8">
        <v>3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5</v>
      </c>
      <c r="E59" s="8">
        <v>5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2</v>
      </c>
      <c r="E60" s="8">
        <v>2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3</v>
      </c>
      <c r="E62" s="8">
        <v>287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2</v>
      </c>
      <c r="E63" s="8">
        <v>2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187</v>
      </c>
      <c r="E65" s="8">
        <v>20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2</v>
      </c>
      <c r="E68" s="8">
        <v>2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3</v>
      </c>
      <c r="F69" s="6" t="s">
        <v>75</v>
      </c>
    </row>
    <row r="70" spans="1:7" ht="15.75" thickBot="1" x14ac:dyDescent="0.3">
      <c r="B70" s="4" t="s">
        <v>229</v>
      </c>
      <c r="C70" s="4" t="s">
        <v>49</v>
      </c>
      <c r="D70" s="7">
        <v>3</v>
      </c>
      <c r="E70" s="7">
        <v>4</v>
      </c>
      <c r="F70" s="4" t="s">
        <v>75</v>
      </c>
    </row>
    <row r="73" spans="1:7" ht="15.75" thickBot="1" x14ac:dyDescent="0.3">
      <c r="A73" t="s">
        <v>51</v>
      </c>
    </row>
    <row r="74" spans="1:7" ht="15.75" thickBot="1" x14ac:dyDescent="0.3">
      <c r="B74" s="5" t="s">
        <v>70</v>
      </c>
      <c r="C74" s="5" t="s">
        <v>71</v>
      </c>
      <c r="D74" s="5" t="s">
        <v>76</v>
      </c>
      <c r="E74" s="5" t="s">
        <v>77</v>
      </c>
      <c r="F74" s="5" t="s">
        <v>78</v>
      </c>
      <c r="G74" s="5" t="s">
        <v>79</v>
      </c>
    </row>
    <row r="75" spans="1:7" x14ac:dyDescent="0.25">
      <c r="B75" s="6" t="s">
        <v>230</v>
      </c>
      <c r="C75" s="6" t="s">
        <v>57</v>
      </c>
      <c r="D75" s="8">
        <v>39</v>
      </c>
      <c r="E75" s="6" t="s">
        <v>231</v>
      </c>
      <c r="F75" s="6" t="s">
        <v>113</v>
      </c>
      <c r="G75" s="8">
        <v>34</v>
      </c>
    </row>
    <row r="76" spans="1:7" x14ac:dyDescent="0.25">
      <c r="B76" s="6" t="s">
        <v>232</v>
      </c>
      <c r="C76" s="6" t="s">
        <v>57</v>
      </c>
      <c r="D76" s="8">
        <v>5</v>
      </c>
      <c r="E76" s="6" t="s">
        <v>233</v>
      </c>
      <c r="F76" s="6" t="s">
        <v>126</v>
      </c>
      <c r="G76" s="8">
        <v>0</v>
      </c>
    </row>
    <row r="77" spans="1:7" x14ac:dyDescent="0.25">
      <c r="B77" s="6" t="s">
        <v>234</v>
      </c>
      <c r="C77" s="6" t="s">
        <v>57</v>
      </c>
      <c r="D77" s="8">
        <v>5</v>
      </c>
      <c r="E77" s="6" t="s">
        <v>235</v>
      </c>
      <c r="F77" s="6" t="s">
        <v>126</v>
      </c>
      <c r="G77" s="8">
        <v>0</v>
      </c>
    </row>
    <row r="78" spans="1:7" x14ac:dyDescent="0.25">
      <c r="B78" s="6" t="s">
        <v>236</v>
      </c>
      <c r="C78" s="6" t="s">
        <v>57</v>
      </c>
      <c r="D78" s="8">
        <v>4</v>
      </c>
      <c r="E78" s="6" t="s">
        <v>237</v>
      </c>
      <c r="F78" s="6" t="s">
        <v>126</v>
      </c>
      <c r="G78" s="8">
        <v>0</v>
      </c>
    </row>
    <row r="79" spans="1:7" x14ac:dyDescent="0.25">
      <c r="B79" s="6" t="s">
        <v>238</v>
      </c>
      <c r="C79" s="6" t="s">
        <v>57</v>
      </c>
      <c r="D79" s="8">
        <v>1</v>
      </c>
      <c r="E79" s="6" t="s">
        <v>239</v>
      </c>
      <c r="F79" s="6" t="s">
        <v>126</v>
      </c>
      <c r="G79" s="8">
        <v>0</v>
      </c>
    </row>
    <row r="80" spans="1:7" x14ac:dyDescent="0.25">
      <c r="B80" s="6" t="s">
        <v>240</v>
      </c>
      <c r="C80" s="6" t="s">
        <v>57</v>
      </c>
      <c r="D80" s="8">
        <v>4</v>
      </c>
      <c r="E80" s="6" t="s">
        <v>241</v>
      </c>
      <c r="F80" s="6" t="s">
        <v>126</v>
      </c>
      <c r="G80" s="8">
        <v>0</v>
      </c>
    </row>
    <row r="81" spans="2:7" x14ac:dyDescent="0.25">
      <c r="B81" s="6" t="s">
        <v>242</v>
      </c>
      <c r="C81" s="6" t="s">
        <v>57</v>
      </c>
      <c r="D81" s="8">
        <v>3</v>
      </c>
      <c r="E81" s="6" t="s">
        <v>243</v>
      </c>
      <c r="F81" s="6" t="s">
        <v>126</v>
      </c>
      <c r="G81" s="8">
        <v>0</v>
      </c>
    </row>
    <row r="82" spans="2:7" x14ac:dyDescent="0.25">
      <c r="B82" s="6" t="s">
        <v>244</v>
      </c>
      <c r="C82" s="6" t="s">
        <v>57</v>
      </c>
      <c r="D82" s="8">
        <v>3</v>
      </c>
      <c r="E82" s="6" t="s">
        <v>245</v>
      </c>
      <c r="F82" s="6" t="s">
        <v>126</v>
      </c>
      <c r="G82" s="8">
        <v>0</v>
      </c>
    </row>
    <row r="83" spans="2:7" x14ac:dyDescent="0.25">
      <c r="B83" s="6" t="s">
        <v>246</v>
      </c>
      <c r="C83" s="6" t="s">
        <v>57</v>
      </c>
      <c r="D83" s="8">
        <v>5</v>
      </c>
      <c r="E83" s="6" t="s">
        <v>247</v>
      </c>
      <c r="F83" s="6" t="s">
        <v>126</v>
      </c>
      <c r="G83" s="8">
        <v>0</v>
      </c>
    </row>
    <row r="84" spans="2:7" x14ac:dyDescent="0.25">
      <c r="B84" s="6" t="s">
        <v>248</v>
      </c>
      <c r="C84" s="6" t="s">
        <v>57</v>
      </c>
      <c r="D84" s="8">
        <v>1</v>
      </c>
      <c r="E84" s="6" t="s">
        <v>249</v>
      </c>
      <c r="F84" s="6" t="s">
        <v>126</v>
      </c>
      <c r="G84" s="8">
        <v>0</v>
      </c>
    </row>
    <row r="85" spans="2:7" x14ac:dyDescent="0.25">
      <c r="B85" s="6" t="s">
        <v>250</v>
      </c>
      <c r="C85" s="6" t="s">
        <v>57</v>
      </c>
      <c r="D85" s="8">
        <v>5</v>
      </c>
      <c r="E85" s="6" t="s">
        <v>251</v>
      </c>
      <c r="F85" s="6" t="s">
        <v>126</v>
      </c>
      <c r="G85" s="8">
        <v>0</v>
      </c>
    </row>
    <row r="86" spans="2:7" x14ac:dyDescent="0.25">
      <c r="B86" s="6" t="s">
        <v>252</v>
      </c>
      <c r="C86" s="6" t="s">
        <v>57</v>
      </c>
      <c r="D86" s="8">
        <v>3</v>
      </c>
      <c r="E86" s="6" t="s">
        <v>253</v>
      </c>
      <c r="F86" s="6" t="s">
        <v>126</v>
      </c>
      <c r="G86" s="8">
        <v>0</v>
      </c>
    </row>
    <row r="87" spans="2:7" x14ac:dyDescent="0.25">
      <c r="B87" s="6" t="s">
        <v>254</v>
      </c>
      <c r="C87" s="6" t="s">
        <v>57</v>
      </c>
      <c r="D87" s="8">
        <v>5</v>
      </c>
      <c r="E87" s="6" t="s">
        <v>255</v>
      </c>
      <c r="F87" s="6" t="s">
        <v>126</v>
      </c>
      <c r="G87" s="8">
        <v>0</v>
      </c>
    </row>
    <row r="88" spans="2:7" x14ac:dyDescent="0.25">
      <c r="B88" s="6" t="s">
        <v>256</v>
      </c>
      <c r="C88" s="6" t="s">
        <v>57</v>
      </c>
      <c r="D88" s="8">
        <v>2</v>
      </c>
      <c r="E88" s="6" t="s">
        <v>257</v>
      </c>
      <c r="F88" s="6" t="s">
        <v>113</v>
      </c>
      <c r="G88" s="8">
        <v>1</v>
      </c>
    </row>
    <row r="89" spans="2:7" x14ac:dyDescent="0.25">
      <c r="B89" s="6" t="s">
        <v>258</v>
      </c>
      <c r="C89" s="6" t="s">
        <v>57</v>
      </c>
      <c r="D89" s="8">
        <v>2</v>
      </c>
      <c r="E89" s="6" t="s">
        <v>259</v>
      </c>
      <c r="F89" s="6" t="s">
        <v>113</v>
      </c>
      <c r="G89" s="8">
        <v>1</v>
      </c>
    </row>
    <row r="90" spans="2:7" x14ac:dyDescent="0.25">
      <c r="B90" s="6" t="s">
        <v>260</v>
      </c>
      <c r="C90" s="6" t="s">
        <v>57</v>
      </c>
      <c r="D90" s="8">
        <v>2</v>
      </c>
      <c r="E90" s="6" t="s">
        <v>261</v>
      </c>
      <c r="F90" s="6" t="s">
        <v>126</v>
      </c>
      <c r="G90" s="8">
        <v>0</v>
      </c>
    </row>
    <row r="91" spans="2:7" x14ac:dyDescent="0.25">
      <c r="B91" s="6" t="s">
        <v>262</v>
      </c>
      <c r="C91" s="6" t="s">
        <v>57</v>
      </c>
      <c r="D91" s="8">
        <v>20</v>
      </c>
      <c r="E91" s="6" t="s">
        <v>263</v>
      </c>
      <c r="F91" s="6" t="s">
        <v>126</v>
      </c>
      <c r="G91" s="8">
        <v>0</v>
      </c>
    </row>
    <row r="92" spans="2:7" x14ac:dyDescent="0.25">
      <c r="B92" s="6" t="s">
        <v>264</v>
      </c>
      <c r="C92" s="6" t="s">
        <v>57</v>
      </c>
      <c r="D92" s="8">
        <v>2</v>
      </c>
      <c r="E92" s="6" t="s">
        <v>265</v>
      </c>
      <c r="F92" s="6" t="s">
        <v>126</v>
      </c>
      <c r="G92" s="8">
        <v>0</v>
      </c>
    </row>
    <row r="93" spans="2:7" x14ac:dyDescent="0.25">
      <c r="B93" s="6" t="s">
        <v>266</v>
      </c>
      <c r="C93" s="6" t="s">
        <v>57</v>
      </c>
      <c r="D93" s="8">
        <v>5</v>
      </c>
      <c r="E93" s="6" t="s">
        <v>267</v>
      </c>
      <c r="F93" s="6" t="s">
        <v>126</v>
      </c>
      <c r="G93" s="8">
        <v>0</v>
      </c>
    </row>
    <row r="94" spans="2:7" x14ac:dyDescent="0.25">
      <c r="B94" s="6" t="s">
        <v>268</v>
      </c>
      <c r="C94" s="6" t="s">
        <v>57</v>
      </c>
      <c r="D94" s="8">
        <v>6</v>
      </c>
      <c r="E94" s="6" t="s">
        <v>269</v>
      </c>
      <c r="F94" s="6" t="s">
        <v>126</v>
      </c>
      <c r="G94" s="8">
        <v>0</v>
      </c>
    </row>
    <row r="95" spans="2:7" x14ac:dyDescent="0.25">
      <c r="B95" s="6" t="s">
        <v>270</v>
      </c>
      <c r="C95" s="6" t="s">
        <v>57</v>
      </c>
      <c r="D95" s="8">
        <v>2</v>
      </c>
      <c r="E95" s="6" t="s">
        <v>271</v>
      </c>
      <c r="F95" s="6" t="s">
        <v>126</v>
      </c>
      <c r="G95" s="8">
        <v>0</v>
      </c>
    </row>
    <row r="96" spans="2:7" x14ac:dyDescent="0.25">
      <c r="B96" s="6" t="s">
        <v>272</v>
      </c>
      <c r="C96" s="6" t="s">
        <v>57</v>
      </c>
      <c r="D96" s="8">
        <v>4</v>
      </c>
      <c r="E96" s="6" t="s">
        <v>273</v>
      </c>
      <c r="F96" s="6" t="s">
        <v>126</v>
      </c>
      <c r="G96" s="8">
        <v>0</v>
      </c>
    </row>
    <row r="97" spans="2:7" x14ac:dyDescent="0.25">
      <c r="B97" s="6" t="s">
        <v>274</v>
      </c>
      <c r="C97" s="6" t="s">
        <v>57</v>
      </c>
      <c r="D97" s="8">
        <v>5</v>
      </c>
      <c r="E97" s="6" t="s">
        <v>275</v>
      </c>
      <c r="F97" s="6" t="s">
        <v>113</v>
      </c>
      <c r="G97" s="8">
        <v>4</v>
      </c>
    </row>
    <row r="98" spans="2:7" x14ac:dyDescent="0.25">
      <c r="B98" s="6" t="s">
        <v>276</v>
      </c>
      <c r="C98" s="6" t="s">
        <v>57</v>
      </c>
      <c r="D98" s="8">
        <v>5</v>
      </c>
      <c r="E98" s="6" t="s">
        <v>277</v>
      </c>
      <c r="F98" s="6" t="s">
        <v>113</v>
      </c>
      <c r="G98" s="8">
        <v>4</v>
      </c>
    </row>
    <row r="99" spans="2:7" x14ac:dyDescent="0.25">
      <c r="B99" s="6" t="s">
        <v>278</v>
      </c>
      <c r="C99" s="6" t="s">
        <v>57</v>
      </c>
      <c r="D99" s="8">
        <v>2</v>
      </c>
      <c r="E99" s="6" t="s">
        <v>279</v>
      </c>
      <c r="F99" s="6" t="s">
        <v>126</v>
      </c>
      <c r="G99" s="8">
        <v>0</v>
      </c>
    </row>
    <row r="100" spans="2:7" x14ac:dyDescent="0.25">
      <c r="B100" s="6" t="s">
        <v>280</v>
      </c>
      <c r="C100" s="6" t="s">
        <v>57</v>
      </c>
      <c r="D100" s="8">
        <v>3</v>
      </c>
      <c r="E100" s="6" t="s">
        <v>281</v>
      </c>
      <c r="F100" s="6" t="s">
        <v>113</v>
      </c>
      <c r="G100" s="8">
        <v>2</v>
      </c>
    </row>
    <row r="101" spans="2:7" x14ac:dyDescent="0.25">
      <c r="B101" s="6" t="s">
        <v>282</v>
      </c>
      <c r="C101" s="6" t="s">
        <v>57</v>
      </c>
      <c r="D101" s="8">
        <v>2</v>
      </c>
      <c r="E101" s="6" t="s">
        <v>283</v>
      </c>
      <c r="F101" s="6" t="s">
        <v>113</v>
      </c>
      <c r="G101" s="8">
        <v>1</v>
      </c>
    </row>
    <row r="102" spans="2:7" x14ac:dyDescent="0.25">
      <c r="B102" s="6" t="s">
        <v>284</v>
      </c>
      <c r="C102" s="6" t="s">
        <v>57</v>
      </c>
      <c r="D102" s="8">
        <v>5</v>
      </c>
      <c r="E102" s="6" t="s">
        <v>285</v>
      </c>
      <c r="F102" s="6" t="s">
        <v>113</v>
      </c>
      <c r="G102" s="8">
        <v>4</v>
      </c>
    </row>
    <row r="103" spans="2:7" x14ac:dyDescent="0.25">
      <c r="B103" s="6" t="s">
        <v>286</v>
      </c>
      <c r="C103" s="6" t="s">
        <v>57</v>
      </c>
      <c r="D103" s="8">
        <v>2</v>
      </c>
      <c r="E103" s="6" t="s">
        <v>287</v>
      </c>
      <c r="F103" s="6" t="s">
        <v>113</v>
      </c>
      <c r="G103" s="8">
        <v>1</v>
      </c>
    </row>
    <row r="104" spans="2:7" x14ac:dyDescent="0.25">
      <c r="B104" s="6" t="s">
        <v>288</v>
      </c>
      <c r="C104" s="6" t="s">
        <v>57</v>
      </c>
      <c r="D104" s="8">
        <v>3</v>
      </c>
      <c r="E104" s="6" t="s">
        <v>289</v>
      </c>
      <c r="F104" s="6" t="s">
        <v>126</v>
      </c>
      <c r="G104" s="8">
        <v>0</v>
      </c>
    </row>
    <row r="105" spans="2:7" x14ac:dyDescent="0.25">
      <c r="B105" s="6" t="s">
        <v>290</v>
      </c>
      <c r="C105" s="6" t="s">
        <v>57</v>
      </c>
      <c r="D105" s="8">
        <v>5</v>
      </c>
      <c r="E105" s="6" t="s">
        <v>291</v>
      </c>
      <c r="F105" s="6" t="s">
        <v>126</v>
      </c>
      <c r="G105" s="8">
        <v>0</v>
      </c>
    </row>
    <row r="106" spans="2:7" x14ac:dyDescent="0.25">
      <c r="B106" s="6" t="s">
        <v>292</v>
      </c>
      <c r="C106" s="6" t="s">
        <v>57</v>
      </c>
      <c r="D106" s="8">
        <v>10</v>
      </c>
      <c r="E106" s="6" t="s">
        <v>293</v>
      </c>
      <c r="F106" s="6" t="s">
        <v>113</v>
      </c>
      <c r="G106" s="8">
        <v>9</v>
      </c>
    </row>
    <row r="107" spans="2:7" x14ac:dyDescent="0.25">
      <c r="B107" s="6" t="s">
        <v>294</v>
      </c>
      <c r="C107" s="6" t="s">
        <v>57</v>
      </c>
      <c r="D107" s="8">
        <v>3</v>
      </c>
      <c r="E107" s="6" t="s">
        <v>295</v>
      </c>
      <c r="F107" s="6" t="s">
        <v>113</v>
      </c>
      <c r="G107" s="8">
        <v>2</v>
      </c>
    </row>
    <row r="108" spans="2:7" x14ac:dyDescent="0.25">
      <c r="B108" s="6" t="s">
        <v>296</v>
      </c>
      <c r="C108" s="6" t="s">
        <v>57</v>
      </c>
      <c r="D108" s="8">
        <v>5</v>
      </c>
      <c r="E108" s="6" t="s">
        <v>297</v>
      </c>
      <c r="F108" s="6" t="s">
        <v>126</v>
      </c>
      <c r="G108" s="8">
        <v>0</v>
      </c>
    </row>
    <row r="109" spans="2:7" x14ac:dyDescent="0.25">
      <c r="B109" s="6" t="s">
        <v>298</v>
      </c>
      <c r="C109" s="6" t="s">
        <v>57</v>
      </c>
      <c r="D109" s="8">
        <v>2</v>
      </c>
      <c r="E109" s="6" t="s">
        <v>299</v>
      </c>
      <c r="F109" s="6" t="s">
        <v>113</v>
      </c>
      <c r="G109" s="8">
        <v>1</v>
      </c>
    </row>
    <row r="110" spans="2:7" x14ac:dyDescent="0.25">
      <c r="B110" s="6" t="s">
        <v>300</v>
      </c>
      <c r="C110" s="6" t="s">
        <v>57</v>
      </c>
      <c r="D110" s="8">
        <v>3</v>
      </c>
      <c r="E110" s="6" t="s">
        <v>301</v>
      </c>
      <c r="F110" s="6" t="s">
        <v>113</v>
      </c>
      <c r="G110" s="8">
        <v>2</v>
      </c>
    </row>
    <row r="111" spans="2:7" x14ac:dyDescent="0.25">
      <c r="B111" s="6" t="s">
        <v>302</v>
      </c>
      <c r="C111" s="6" t="s">
        <v>57</v>
      </c>
      <c r="D111" s="8">
        <v>5</v>
      </c>
      <c r="E111" s="6" t="s">
        <v>303</v>
      </c>
      <c r="F111" s="6" t="s">
        <v>126</v>
      </c>
      <c r="G111" s="8">
        <v>0</v>
      </c>
    </row>
    <row r="112" spans="2:7" x14ac:dyDescent="0.25">
      <c r="B112" s="6" t="s">
        <v>304</v>
      </c>
      <c r="C112" s="6" t="s">
        <v>57</v>
      </c>
      <c r="D112" s="8">
        <v>5</v>
      </c>
      <c r="E112" s="6" t="s">
        <v>305</v>
      </c>
      <c r="F112" s="6" t="s">
        <v>126</v>
      </c>
      <c r="G112" s="8">
        <v>0</v>
      </c>
    </row>
    <row r="113" spans="2:7" x14ac:dyDescent="0.25">
      <c r="B113" s="6" t="s">
        <v>306</v>
      </c>
      <c r="C113" s="6" t="s">
        <v>57</v>
      </c>
      <c r="D113" s="8">
        <v>5</v>
      </c>
      <c r="E113" s="6" t="s">
        <v>307</v>
      </c>
      <c r="F113" s="6" t="s">
        <v>126</v>
      </c>
      <c r="G113" s="8">
        <v>0</v>
      </c>
    </row>
    <row r="114" spans="2:7" x14ac:dyDescent="0.25">
      <c r="B114" s="6" t="s">
        <v>308</v>
      </c>
      <c r="C114" s="6" t="s">
        <v>57</v>
      </c>
      <c r="D114" s="8">
        <v>2</v>
      </c>
      <c r="E114" s="6" t="s">
        <v>309</v>
      </c>
      <c r="F114" s="6" t="s">
        <v>113</v>
      </c>
      <c r="G114" s="8">
        <v>1</v>
      </c>
    </row>
    <row r="115" spans="2:7" x14ac:dyDescent="0.25">
      <c r="B115" s="6" t="s">
        <v>310</v>
      </c>
      <c r="C115" s="6" t="s">
        <v>57</v>
      </c>
      <c r="D115" s="8">
        <v>2</v>
      </c>
      <c r="E115" s="6" t="s">
        <v>311</v>
      </c>
      <c r="F115" s="6" t="s">
        <v>113</v>
      </c>
      <c r="G115" s="8">
        <v>1</v>
      </c>
    </row>
    <row r="116" spans="2:7" x14ac:dyDescent="0.25">
      <c r="B116" s="6" t="s">
        <v>312</v>
      </c>
      <c r="C116" s="6" t="s">
        <v>57</v>
      </c>
      <c r="D116" s="8">
        <v>287</v>
      </c>
      <c r="E116" s="6" t="s">
        <v>313</v>
      </c>
      <c r="F116" s="6" t="s">
        <v>113</v>
      </c>
      <c r="G116" s="8">
        <v>284</v>
      </c>
    </row>
    <row r="117" spans="2:7" x14ac:dyDescent="0.25">
      <c r="B117" s="6" t="s">
        <v>314</v>
      </c>
      <c r="C117" s="6" t="s">
        <v>57</v>
      </c>
      <c r="D117" s="8">
        <v>2</v>
      </c>
      <c r="E117" s="6" t="s">
        <v>315</v>
      </c>
      <c r="F117" s="6" t="s">
        <v>113</v>
      </c>
      <c r="G117" s="8">
        <v>1</v>
      </c>
    </row>
    <row r="118" spans="2:7" x14ac:dyDescent="0.25">
      <c r="B118" s="6" t="s">
        <v>316</v>
      </c>
      <c r="C118" s="6" t="s">
        <v>57</v>
      </c>
      <c r="D118" s="8">
        <v>2</v>
      </c>
      <c r="E118" s="6" t="s">
        <v>317</v>
      </c>
      <c r="F118" s="6" t="s">
        <v>113</v>
      </c>
      <c r="G118" s="8">
        <v>1</v>
      </c>
    </row>
    <row r="119" spans="2:7" x14ac:dyDescent="0.25">
      <c r="B119" s="6" t="s">
        <v>318</v>
      </c>
      <c r="C119" s="6" t="s">
        <v>57</v>
      </c>
      <c r="D119" s="8">
        <v>20</v>
      </c>
      <c r="E119" s="6" t="s">
        <v>319</v>
      </c>
      <c r="F119" s="6" t="s">
        <v>113</v>
      </c>
      <c r="G119" s="8">
        <v>17</v>
      </c>
    </row>
    <row r="120" spans="2:7" x14ac:dyDescent="0.25">
      <c r="B120" s="6" t="s">
        <v>320</v>
      </c>
      <c r="C120" s="6" t="s">
        <v>57</v>
      </c>
      <c r="D120" s="8">
        <v>10</v>
      </c>
      <c r="E120" s="6" t="s">
        <v>321</v>
      </c>
      <c r="F120" s="6" t="s">
        <v>126</v>
      </c>
      <c r="G120" s="8">
        <v>0</v>
      </c>
    </row>
    <row r="121" spans="2:7" x14ac:dyDescent="0.25">
      <c r="B121" s="6" t="s">
        <v>322</v>
      </c>
      <c r="C121" s="6" t="s">
        <v>57</v>
      </c>
      <c r="D121" s="8">
        <v>2</v>
      </c>
      <c r="E121" s="6" t="s">
        <v>323</v>
      </c>
      <c r="F121" s="6" t="s">
        <v>113</v>
      </c>
      <c r="G121" s="8">
        <v>1</v>
      </c>
    </row>
    <row r="122" spans="2:7" x14ac:dyDescent="0.25">
      <c r="B122" s="6" t="s">
        <v>324</v>
      </c>
      <c r="C122" s="6" t="s">
        <v>57</v>
      </c>
      <c r="D122" s="8">
        <v>2</v>
      </c>
      <c r="E122" s="6" t="s">
        <v>325</v>
      </c>
      <c r="F122" s="6" t="s">
        <v>113</v>
      </c>
      <c r="G122" s="8">
        <v>1</v>
      </c>
    </row>
    <row r="123" spans="2:7" x14ac:dyDescent="0.25">
      <c r="B123" s="6" t="s">
        <v>326</v>
      </c>
      <c r="C123" s="6" t="s">
        <v>57</v>
      </c>
      <c r="D123" s="8">
        <v>3</v>
      </c>
      <c r="E123" s="6" t="s">
        <v>327</v>
      </c>
      <c r="F123" s="6" t="s">
        <v>113</v>
      </c>
      <c r="G123" s="8">
        <v>1</v>
      </c>
    </row>
    <row r="124" spans="2:7" x14ac:dyDescent="0.25">
      <c r="B124" s="6" t="s">
        <v>328</v>
      </c>
      <c r="C124" s="6" t="s">
        <v>57</v>
      </c>
      <c r="D124" s="8">
        <v>4</v>
      </c>
      <c r="E124" s="6" t="s">
        <v>329</v>
      </c>
      <c r="F124" s="6" t="s">
        <v>113</v>
      </c>
      <c r="G124" s="8">
        <v>1</v>
      </c>
    </row>
    <row r="125" spans="2:7" x14ac:dyDescent="0.25">
      <c r="B125" s="6" t="s">
        <v>330</v>
      </c>
      <c r="C125" s="6" t="s">
        <v>57</v>
      </c>
      <c r="D125" s="8">
        <v>1</v>
      </c>
      <c r="E125" s="6" t="s">
        <v>331</v>
      </c>
      <c r="F125" s="6" t="s">
        <v>113</v>
      </c>
      <c r="G125" s="6">
        <v>1</v>
      </c>
    </row>
    <row r="126" spans="2:7" x14ac:dyDescent="0.25">
      <c r="B126" s="6" t="s">
        <v>332</v>
      </c>
      <c r="C126" s="6" t="s">
        <v>57</v>
      </c>
      <c r="D126" s="8">
        <v>1</v>
      </c>
      <c r="E126" s="6" t="s">
        <v>333</v>
      </c>
      <c r="F126" s="6" t="s">
        <v>113</v>
      </c>
      <c r="G126" s="6">
        <v>1</v>
      </c>
    </row>
    <row r="127" spans="2:7" x14ac:dyDescent="0.25">
      <c r="B127" s="6" t="s">
        <v>334</v>
      </c>
      <c r="C127" s="6" t="s">
        <v>57</v>
      </c>
      <c r="D127" s="8">
        <v>2</v>
      </c>
      <c r="E127" s="6" t="s">
        <v>335</v>
      </c>
      <c r="F127" s="6" t="s">
        <v>126</v>
      </c>
      <c r="G127" s="6">
        <v>0</v>
      </c>
    </row>
    <row r="128" spans="2:7" x14ac:dyDescent="0.25">
      <c r="B128" s="6" t="s">
        <v>336</v>
      </c>
      <c r="C128" s="6" t="s">
        <v>57</v>
      </c>
      <c r="D128" s="8">
        <v>2</v>
      </c>
      <c r="E128" s="6" t="s">
        <v>337</v>
      </c>
      <c r="F128" s="6" t="s">
        <v>126</v>
      </c>
      <c r="G128" s="6">
        <v>0</v>
      </c>
    </row>
    <row r="129" spans="2:7" x14ac:dyDescent="0.25">
      <c r="B129" s="6" t="s">
        <v>338</v>
      </c>
      <c r="C129" s="6" t="s">
        <v>57</v>
      </c>
      <c r="D129" s="8">
        <v>2</v>
      </c>
      <c r="E129" s="6" t="s">
        <v>339</v>
      </c>
      <c r="F129" s="6" t="s">
        <v>113</v>
      </c>
      <c r="G129" s="6">
        <v>1</v>
      </c>
    </row>
    <row r="130" spans="2:7" x14ac:dyDescent="0.25">
      <c r="B130" s="6" t="s">
        <v>340</v>
      </c>
      <c r="C130" s="6" t="s">
        <v>57</v>
      </c>
      <c r="D130" s="8">
        <v>2</v>
      </c>
      <c r="E130" s="6" t="s">
        <v>341</v>
      </c>
      <c r="F130" s="6" t="s">
        <v>113</v>
      </c>
      <c r="G130" s="6">
        <v>8</v>
      </c>
    </row>
    <row r="131" spans="2:7" x14ac:dyDescent="0.25">
      <c r="B131" s="6" t="s">
        <v>342</v>
      </c>
      <c r="C131" s="6" t="s">
        <v>57</v>
      </c>
      <c r="D131" s="8">
        <v>5</v>
      </c>
      <c r="E131" s="6" t="s">
        <v>343</v>
      </c>
      <c r="F131" s="6" t="s">
        <v>113</v>
      </c>
      <c r="G131" s="6">
        <v>5</v>
      </c>
    </row>
    <row r="132" spans="2:7" x14ac:dyDescent="0.25">
      <c r="B132" s="6" t="s">
        <v>344</v>
      </c>
      <c r="C132" s="6" t="s">
        <v>57</v>
      </c>
      <c r="D132" s="8">
        <v>4</v>
      </c>
      <c r="E132" s="6" t="s">
        <v>345</v>
      </c>
      <c r="F132" s="6" t="s">
        <v>113</v>
      </c>
      <c r="G132" s="6">
        <v>6</v>
      </c>
    </row>
    <row r="133" spans="2:7" x14ac:dyDescent="0.25">
      <c r="B133" s="6" t="s">
        <v>346</v>
      </c>
      <c r="C133" s="6" t="s">
        <v>57</v>
      </c>
      <c r="D133" s="8">
        <v>5</v>
      </c>
      <c r="E133" s="6" t="s">
        <v>347</v>
      </c>
      <c r="F133" s="6" t="s">
        <v>126</v>
      </c>
      <c r="G133" s="6">
        <v>0</v>
      </c>
    </row>
    <row r="134" spans="2:7" x14ac:dyDescent="0.25">
      <c r="B134" s="6" t="s">
        <v>348</v>
      </c>
      <c r="C134" s="6" t="s">
        <v>57</v>
      </c>
      <c r="D134" s="8">
        <v>5</v>
      </c>
      <c r="E134" s="6" t="s">
        <v>349</v>
      </c>
      <c r="F134" s="6" t="s">
        <v>126</v>
      </c>
      <c r="G134" s="6">
        <v>0</v>
      </c>
    </row>
    <row r="135" spans="2:7" x14ac:dyDescent="0.25">
      <c r="B135" s="6" t="s">
        <v>350</v>
      </c>
      <c r="C135" s="6" t="s">
        <v>57</v>
      </c>
      <c r="D135" s="8">
        <v>3</v>
      </c>
      <c r="E135" s="6" t="s">
        <v>351</v>
      </c>
      <c r="F135" s="6" t="s">
        <v>126</v>
      </c>
      <c r="G135" s="6">
        <v>0</v>
      </c>
    </row>
    <row r="136" spans="2:7" x14ac:dyDescent="0.25">
      <c r="B136" s="6" t="s">
        <v>352</v>
      </c>
      <c r="C136" s="6" t="s">
        <v>57</v>
      </c>
      <c r="D136" s="8">
        <v>2</v>
      </c>
      <c r="E136" s="6" t="s">
        <v>353</v>
      </c>
      <c r="F136" s="6" t="s">
        <v>126</v>
      </c>
      <c r="G136" s="6">
        <v>0</v>
      </c>
    </row>
    <row r="137" spans="2:7" x14ac:dyDescent="0.25">
      <c r="B137" s="6" t="s">
        <v>354</v>
      </c>
      <c r="C137" s="6" t="s">
        <v>57</v>
      </c>
      <c r="D137" s="8">
        <v>5</v>
      </c>
      <c r="E137" s="6" t="s">
        <v>355</v>
      </c>
      <c r="F137" s="6" t="s">
        <v>126</v>
      </c>
      <c r="G137" s="6">
        <v>0</v>
      </c>
    </row>
    <row r="138" spans="2:7" x14ac:dyDescent="0.25">
      <c r="B138" s="6" t="s">
        <v>356</v>
      </c>
      <c r="C138" s="6" t="s">
        <v>57</v>
      </c>
      <c r="D138" s="8">
        <v>2</v>
      </c>
      <c r="E138" s="6" t="s">
        <v>357</v>
      </c>
      <c r="F138" s="6" t="s">
        <v>126</v>
      </c>
      <c r="G138" s="6">
        <v>0</v>
      </c>
    </row>
    <row r="139" spans="2:7" x14ac:dyDescent="0.25">
      <c r="B139" s="6" t="s">
        <v>358</v>
      </c>
      <c r="C139" s="6" t="s">
        <v>57</v>
      </c>
      <c r="D139" s="8">
        <v>3</v>
      </c>
      <c r="E139" s="6" t="s">
        <v>359</v>
      </c>
      <c r="F139" s="6" t="s">
        <v>126</v>
      </c>
      <c r="G139" s="6">
        <v>0</v>
      </c>
    </row>
    <row r="140" spans="2:7" x14ac:dyDescent="0.25">
      <c r="B140" s="6" t="s">
        <v>360</v>
      </c>
      <c r="C140" s="6" t="s">
        <v>57</v>
      </c>
      <c r="D140" s="8">
        <v>10</v>
      </c>
      <c r="E140" s="6" t="s">
        <v>361</v>
      </c>
      <c r="F140" s="6" t="s">
        <v>126</v>
      </c>
      <c r="G140" s="6">
        <v>0</v>
      </c>
    </row>
    <row r="141" spans="2:7" x14ac:dyDescent="0.25">
      <c r="B141" s="6" t="s">
        <v>362</v>
      </c>
      <c r="C141" s="6" t="s">
        <v>57</v>
      </c>
      <c r="D141" s="8">
        <v>2</v>
      </c>
      <c r="E141" s="6" t="s">
        <v>363</v>
      </c>
      <c r="F141" s="6" t="s">
        <v>126</v>
      </c>
      <c r="G141" s="6">
        <v>0</v>
      </c>
    </row>
    <row r="142" spans="2:7" x14ac:dyDescent="0.25">
      <c r="B142" s="6" t="s">
        <v>364</v>
      </c>
      <c r="C142" s="6" t="s">
        <v>57</v>
      </c>
      <c r="D142" s="8">
        <v>2</v>
      </c>
      <c r="E142" s="6" t="s">
        <v>365</v>
      </c>
      <c r="F142" s="6" t="s">
        <v>126</v>
      </c>
      <c r="G142" s="6">
        <v>0</v>
      </c>
    </row>
    <row r="143" spans="2:7" x14ac:dyDescent="0.25">
      <c r="B143" s="6" t="s">
        <v>366</v>
      </c>
      <c r="C143" s="6" t="s">
        <v>57</v>
      </c>
      <c r="D143" s="8">
        <v>2</v>
      </c>
      <c r="E143" s="6" t="s">
        <v>367</v>
      </c>
      <c r="F143" s="6" t="s">
        <v>126</v>
      </c>
      <c r="G143" s="6">
        <v>0</v>
      </c>
    </row>
    <row r="144" spans="2:7" x14ac:dyDescent="0.25">
      <c r="B144" s="6" t="s">
        <v>368</v>
      </c>
      <c r="C144" s="6" t="s">
        <v>57</v>
      </c>
      <c r="D144" s="8">
        <v>2</v>
      </c>
      <c r="E144" s="6" t="s">
        <v>369</v>
      </c>
      <c r="F144" s="6" t="s">
        <v>126</v>
      </c>
      <c r="G144" s="6">
        <v>0</v>
      </c>
    </row>
    <row r="145" spans="2:7" x14ac:dyDescent="0.25">
      <c r="B145" s="6" t="s">
        <v>370</v>
      </c>
      <c r="C145" s="6" t="s">
        <v>57</v>
      </c>
      <c r="D145" s="8">
        <v>3</v>
      </c>
      <c r="E145" s="6" t="s">
        <v>371</v>
      </c>
      <c r="F145" s="6" t="s">
        <v>126</v>
      </c>
      <c r="G145" s="6">
        <v>0</v>
      </c>
    </row>
    <row r="146" spans="2:7" x14ac:dyDescent="0.25">
      <c r="B146" s="6" t="s">
        <v>372</v>
      </c>
      <c r="C146" s="6" t="s">
        <v>57</v>
      </c>
      <c r="D146" s="8">
        <v>2</v>
      </c>
      <c r="E146" s="6" t="s">
        <v>373</v>
      </c>
      <c r="F146" s="6" t="s">
        <v>126</v>
      </c>
      <c r="G146" s="6">
        <v>0</v>
      </c>
    </row>
    <row r="147" spans="2:7" x14ac:dyDescent="0.25">
      <c r="B147" s="6" t="s">
        <v>374</v>
      </c>
      <c r="C147" s="6" t="s">
        <v>57</v>
      </c>
      <c r="D147" s="8">
        <v>10</v>
      </c>
      <c r="E147" s="6" t="s">
        <v>375</v>
      </c>
      <c r="F147" s="6" t="s">
        <v>113</v>
      </c>
      <c r="G147" s="6">
        <v>10</v>
      </c>
    </row>
    <row r="148" spans="2:7" x14ac:dyDescent="0.25">
      <c r="B148" s="6" t="s">
        <v>376</v>
      </c>
      <c r="C148" s="6" t="s">
        <v>57</v>
      </c>
      <c r="D148" s="8">
        <v>2</v>
      </c>
      <c r="E148" s="6" t="s">
        <v>377</v>
      </c>
      <c r="F148" s="6" t="s">
        <v>126</v>
      </c>
      <c r="G148" s="6">
        <v>0</v>
      </c>
    </row>
    <row r="149" spans="2:7" x14ac:dyDescent="0.25">
      <c r="B149" s="6" t="s">
        <v>378</v>
      </c>
      <c r="C149" s="6" t="s">
        <v>57</v>
      </c>
      <c r="D149" s="8">
        <v>2</v>
      </c>
      <c r="E149" s="6" t="s">
        <v>379</v>
      </c>
      <c r="F149" s="6" t="s">
        <v>126</v>
      </c>
      <c r="G149" s="6">
        <v>0</v>
      </c>
    </row>
    <row r="150" spans="2:7" x14ac:dyDescent="0.25">
      <c r="B150" s="6" t="s">
        <v>380</v>
      </c>
      <c r="C150" s="6" t="s">
        <v>57</v>
      </c>
      <c r="D150" s="8">
        <v>3</v>
      </c>
      <c r="E150" s="6" t="s">
        <v>381</v>
      </c>
      <c r="F150" s="6" t="s">
        <v>126</v>
      </c>
      <c r="G150" s="6">
        <v>0</v>
      </c>
    </row>
    <row r="151" spans="2:7" x14ac:dyDescent="0.25">
      <c r="B151" s="6" t="s">
        <v>382</v>
      </c>
      <c r="C151" s="6" t="s">
        <v>57</v>
      </c>
      <c r="D151" s="8">
        <v>4</v>
      </c>
      <c r="E151" s="6" t="s">
        <v>383</v>
      </c>
      <c r="F151" s="6" t="s">
        <v>126</v>
      </c>
      <c r="G151" s="6">
        <v>0</v>
      </c>
    </row>
    <row r="152" spans="2:7" x14ac:dyDescent="0.25">
      <c r="B152" s="6" t="s">
        <v>384</v>
      </c>
      <c r="C152" s="6" t="s">
        <v>57</v>
      </c>
      <c r="D152" s="8">
        <v>20</v>
      </c>
      <c r="E152" s="6" t="s">
        <v>385</v>
      </c>
      <c r="F152" s="6" t="s">
        <v>126</v>
      </c>
      <c r="G152" s="6">
        <v>0</v>
      </c>
    </row>
    <row r="153" spans="2:7" x14ac:dyDescent="0.25">
      <c r="B153" s="6" t="s">
        <v>390</v>
      </c>
      <c r="C153" s="6" t="s">
        <v>57</v>
      </c>
      <c r="D153" s="8">
        <v>74.999399999999994</v>
      </c>
      <c r="E153" s="6" t="s">
        <v>391</v>
      </c>
      <c r="F153" s="6" t="s">
        <v>113</v>
      </c>
      <c r="G153" s="6">
        <v>6.0000000000570708E-4</v>
      </c>
    </row>
    <row r="154" spans="2:7" ht="15.75" thickBot="1" x14ac:dyDescent="0.3">
      <c r="B154" s="4" t="s">
        <v>386</v>
      </c>
      <c r="C154" s="4"/>
      <c r="D154" s="4"/>
      <c r="E154" s="4"/>
      <c r="F154" s="4"/>
      <c r="G154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showGridLines="0" topLeftCell="A56" workbookViewId="0"/>
  </sheetViews>
  <sheetFormatPr defaultRowHeight="15" x14ac:dyDescent="0.25"/>
  <cols>
    <col min="1" max="1" width="2.125" customWidth="1"/>
    <col min="2" max="2" width="17.125" customWidth="1"/>
    <col min="3" max="3" width="5.5" customWidth="1"/>
    <col min="4" max="4" width="11.875" bestFit="1" customWidth="1"/>
    <col min="5" max="5" width="14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203</v>
      </c>
    </row>
    <row r="3" spans="1:5" x14ac:dyDescent="0.25">
      <c r="A3" s="3" t="s">
        <v>392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393</v>
      </c>
    </row>
    <row r="8" spans="1:5" x14ac:dyDescent="0.25">
      <c r="A8" s="3"/>
      <c r="B8" t="s">
        <v>389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5" t="s">
        <v>70</v>
      </c>
      <c r="C15" s="5" t="s">
        <v>71</v>
      </c>
      <c r="D15" s="5" t="s">
        <v>72</v>
      </c>
      <c r="E15" s="5" t="s">
        <v>73</v>
      </c>
    </row>
    <row r="16" spans="1:5" ht="15.75" thickBot="1" x14ac:dyDescent="0.3">
      <c r="B16" s="4" t="s">
        <v>209</v>
      </c>
      <c r="C16" s="4" t="s">
        <v>57</v>
      </c>
      <c r="D16" s="7">
        <v>74.999399999999994</v>
      </c>
      <c r="E16" s="7">
        <v>74.999399999999994</v>
      </c>
    </row>
    <row r="19" spans="1:6" ht="15.75" thickBot="1" x14ac:dyDescent="0.3">
      <c r="A19" t="s">
        <v>74</v>
      </c>
    </row>
    <row r="20" spans="1:6" ht="15.75" thickBot="1" x14ac:dyDescent="0.3"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75</v>
      </c>
    </row>
    <row r="21" spans="1:6" x14ac:dyDescent="0.25">
      <c r="B21" s="6" t="s">
        <v>81</v>
      </c>
      <c r="C21" s="6" t="s">
        <v>0</v>
      </c>
      <c r="D21" s="8">
        <v>39</v>
      </c>
      <c r="E21" s="8">
        <v>75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20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20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10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10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10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10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10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10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2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2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2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2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5</v>
      </c>
      <c r="E43" s="8">
        <v>5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5</v>
      </c>
      <c r="E44" s="8">
        <v>5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2</v>
      </c>
      <c r="E45" s="8">
        <v>2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3</v>
      </c>
      <c r="E46" s="8">
        <v>3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2</v>
      </c>
      <c r="E47" s="8">
        <v>2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5</v>
      </c>
      <c r="E48" s="8">
        <v>5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2</v>
      </c>
      <c r="E49" s="8">
        <v>2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3</v>
      </c>
      <c r="E50" s="8">
        <v>3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3</v>
      </c>
      <c r="E53" s="8">
        <v>3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2</v>
      </c>
      <c r="E55" s="8">
        <v>2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3</v>
      </c>
      <c r="E56" s="8">
        <v>3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5</v>
      </c>
      <c r="E59" s="8">
        <v>5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2</v>
      </c>
      <c r="E60" s="8">
        <v>2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287</v>
      </c>
      <c r="E62" s="8">
        <v>284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2</v>
      </c>
      <c r="E63" s="8">
        <v>2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20</v>
      </c>
      <c r="E65" s="8">
        <v>20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2</v>
      </c>
      <c r="E68" s="8">
        <v>2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3</v>
      </c>
      <c r="F69" s="6" t="s">
        <v>75</v>
      </c>
    </row>
    <row r="70" spans="1:7" ht="15.75" thickBot="1" x14ac:dyDescent="0.3">
      <c r="B70" s="4" t="s">
        <v>229</v>
      </c>
      <c r="C70" s="4" t="s">
        <v>49</v>
      </c>
      <c r="D70" s="7">
        <v>4</v>
      </c>
      <c r="E70" s="7">
        <v>4</v>
      </c>
      <c r="F70" s="4" t="s">
        <v>75</v>
      </c>
    </row>
    <row r="73" spans="1:7" ht="15.75" thickBot="1" x14ac:dyDescent="0.3">
      <c r="A73" t="s">
        <v>51</v>
      </c>
    </row>
    <row r="74" spans="1:7" ht="15.75" thickBot="1" x14ac:dyDescent="0.3">
      <c r="B74" s="5" t="s">
        <v>70</v>
      </c>
      <c r="C74" s="5" t="s">
        <v>71</v>
      </c>
      <c r="D74" s="5" t="s">
        <v>76</v>
      </c>
      <c r="E74" s="5" t="s">
        <v>77</v>
      </c>
      <c r="F74" s="5" t="s">
        <v>78</v>
      </c>
      <c r="G74" s="5" t="s">
        <v>79</v>
      </c>
    </row>
    <row r="75" spans="1:7" x14ac:dyDescent="0.25">
      <c r="B75" s="6" t="s">
        <v>230</v>
      </c>
      <c r="C75" s="6" t="s">
        <v>57</v>
      </c>
      <c r="D75" s="8">
        <v>75</v>
      </c>
      <c r="E75" s="6" t="s">
        <v>231</v>
      </c>
      <c r="F75" s="6" t="s">
        <v>113</v>
      </c>
      <c r="G75" s="8">
        <v>55</v>
      </c>
    </row>
    <row r="76" spans="1:7" x14ac:dyDescent="0.25">
      <c r="B76" s="6" t="s">
        <v>232</v>
      </c>
      <c r="C76" s="6" t="s">
        <v>57</v>
      </c>
      <c r="D76" s="8">
        <v>20</v>
      </c>
      <c r="E76" s="6" t="s">
        <v>233</v>
      </c>
      <c r="F76" s="6" t="s">
        <v>126</v>
      </c>
      <c r="G76" s="8">
        <v>0</v>
      </c>
    </row>
    <row r="77" spans="1:7" x14ac:dyDescent="0.25">
      <c r="B77" s="6" t="s">
        <v>234</v>
      </c>
      <c r="C77" s="6" t="s">
        <v>57</v>
      </c>
      <c r="D77" s="8">
        <v>20</v>
      </c>
      <c r="E77" s="6" t="s">
        <v>235</v>
      </c>
      <c r="F77" s="6" t="s">
        <v>126</v>
      </c>
      <c r="G77" s="8">
        <v>0</v>
      </c>
    </row>
    <row r="78" spans="1:7" x14ac:dyDescent="0.25">
      <c r="B78" s="6" t="s">
        <v>236</v>
      </c>
      <c r="C78" s="6" t="s">
        <v>57</v>
      </c>
      <c r="D78" s="8">
        <v>10</v>
      </c>
      <c r="E78" s="6" t="s">
        <v>237</v>
      </c>
      <c r="F78" s="6" t="s">
        <v>126</v>
      </c>
      <c r="G78" s="8">
        <v>0</v>
      </c>
    </row>
    <row r="79" spans="1:7" x14ac:dyDescent="0.25">
      <c r="B79" s="6" t="s">
        <v>238</v>
      </c>
      <c r="C79" s="6" t="s">
        <v>57</v>
      </c>
      <c r="D79" s="8">
        <v>1</v>
      </c>
      <c r="E79" s="6" t="s">
        <v>239</v>
      </c>
      <c r="F79" s="6" t="s">
        <v>126</v>
      </c>
      <c r="G79" s="8">
        <v>0</v>
      </c>
    </row>
    <row r="80" spans="1:7" x14ac:dyDescent="0.25">
      <c r="B80" s="6" t="s">
        <v>240</v>
      </c>
      <c r="C80" s="6" t="s">
        <v>57</v>
      </c>
      <c r="D80" s="8">
        <v>10</v>
      </c>
      <c r="E80" s="6" t="s">
        <v>241</v>
      </c>
      <c r="F80" s="6" t="s">
        <v>126</v>
      </c>
      <c r="G80" s="8">
        <v>0</v>
      </c>
    </row>
    <row r="81" spans="2:7" x14ac:dyDescent="0.25">
      <c r="B81" s="6" t="s">
        <v>242</v>
      </c>
      <c r="C81" s="6" t="s">
        <v>57</v>
      </c>
      <c r="D81" s="8">
        <v>10</v>
      </c>
      <c r="E81" s="6" t="s">
        <v>243</v>
      </c>
      <c r="F81" s="6" t="s">
        <v>126</v>
      </c>
      <c r="G81" s="8">
        <v>0</v>
      </c>
    </row>
    <row r="82" spans="2:7" x14ac:dyDescent="0.25">
      <c r="B82" s="6" t="s">
        <v>244</v>
      </c>
      <c r="C82" s="6" t="s">
        <v>57</v>
      </c>
      <c r="D82" s="8">
        <v>10</v>
      </c>
      <c r="E82" s="6" t="s">
        <v>245</v>
      </c>
      <c r="F82" s="6" t="s">
        <v>126</v>
      </c>
      <c r="G82" s="8">
        <v>0</v>
      </c>
    </row>
    <row r="83" spans="2:7" x14ac:dyDescent="0.25">
      <c r="B83" s="6" t="s">
        <v>246</v>
      </c>
      <c r="C83" s="6" t="s">
        <v>57</v>
      </c>
      <c r="D83" s="8">
        <v>10</v>
      </c>
      <c r="E83" s="6" t="s">
        <v>247</v>
      </c>
      <c r="F83" s="6" t="s">
        <v>126</v>
      </c>
      <c r="G83" s="8">
        <v>0</v>
      </c>
    </row>
    <row r="84" spans="2:7" x14ac:dyDescent="0.25">
      <c r="B84" s="6" t="s">
        <v>248</v>
      </c>
      <c r="C84" s="6" t="s">
        <v>57</v>
      </c>
      <c r="D84" s="8">
        <v>1</v>
      </c>
      <c r="E84" s="6" t="s">
        <v>249</v>
      </c>
      <c r="F84" s="6" t="s">
        <v>126</v>
      </c>
      <c r="G84" s="8">
        <v>0</v>
      </c>
    </row>
    <row r="85" spans="2:7" x14ac:dyDescent="0.25">
      <c r="B85" s="6" t="s">
        <v>250</v>
      </c>
      <c r="C85" s="6" t="s">
        <v>57</v>
      </c>
      <c r="D85" s="8">
        <v>10</v>
      </c>
      <c r="E85" s="6" t="s">
        <v>251</v>
      </c>
      <c r="F85" s="6" t="s">
        <v>126</v>
      </c>
      <c r="G85" s="8">
        <v>0</v>
      </c>
    </row>
    <row r="86" spans="2:7" x14ac:dyDescent="0.25">
      <c r="B86" s="6" t="s">
        <v>252</v>
      </c>
      <c r="C86" s="6" t="s">
        <v>57</v>
      </c>
      <c r="D86" s="8">
        <v>3</v>
      </c>
      <c r="E86" s="6" t="s">
        <v>253</v>
      </c>
      <c r="F86" s="6" t="s">
        <v>126</v>
      </c>
      <c r="G86" s="8">
        <v>0</v>
      </c>
    </row>
    <row r="87" spans="2:7" x14ac:dyDescent="0.25">
      <c r="B87" s="6" t="s">
        <v>254</v>
      </c>
      <c r="C87" s="6" t="s">
        <v>57</v>
      </c>
      <c r="D87" s="8">
        <v>5</v>
      </c>
      <c r="E87" s="6" t="s">
        <v>255</v>
      </c>
      <c r="F87" s="6" t="s">
        <v>126</v>
      </c>
      <c r="G87" s="8">
        <v>0</v>
      </c>
    </row>
    <row r="88" spans="2:7" x14ac:dyDescent="0.25">
      <c r="B88" s="6" t="s">
        <v>256</v>
      </c>
      <c r="C88" s="6" t="s">
        <v>57</v>
      </c>
      <c r="D88" s="8">
        <v>2</v>
      </c>
      <c r="E88" s="6" t="s">
        <v>257</v>
      </c>
      <c r="F88" s="6" t="s">
        <v>113</v>
      </c>
      <c r="G88" s="8">
        <v>1</v>
      </c>
    </row>
    <row r="89" spans="2:7" x14ac:dyDescent="0.25">
      <c r="B89" s="6" t="s">
        <v>258</v>
      </c>
      <c r="C89" s="6" t="s">
        <v>57</v>
      </c>
      <c r="D89" s="8">
        <v>2</v>
      </c>
      <c r="E89" s="6" t="s">
        <v>259</v>
      </c>
      <c r="F89" s="6" t="s">
        <v>113</v>
      </c>
      <c r="G89" s="8">
        <v>1</v>
      </c>
    </row>
    <row r="90" spans="2:7" x14ac:dyDescent="0.25">
      <c r="B90" s="6" t="s">
        <v>260</v>
      </c>
      <c r="C90" s="6" t="s">
        <v>57</v>
      </c>
      <c r="D90" s="8">
        <v>2</v>
      </c>
      <c r="E90" s="6" t="s">
        <v>261</v>
      </c>
      <c r="F90" s="6" t="s">
        <v>126</v>
      </c>
      <c r="G90" s="8">
        <v>0</v>
      </c>
    </row>
    <row r="91" spans="2:7" x14ac:dyDescent="0.25">
      <c r="B91" s="6" t="s">
        <v>262</v>
      </c>
      <c r="C91" s="6" t="s">
        <v>57</v>
      </c>
      <c r="D91" s="8">
        <v>20</v>
      </c>
      <c r="E91" s="6" t="s">
        <v>263</v>
      </c>
      <c r="F91" s="6" t="s">
        <v>126</v>
      </c>
      <c r="G91" s="8">
        <v>0</v>
      </c>
    </row>
    <row r="92" spans="2:7" x14ac:dyDescent="0.25">
      <c r="B92" s="6" t="s">
        <v>264</v>
      </c>
      <c r="C92" s="6" t="s">
        <v>57</v>
      </c>
      <c r="D92" s="8">
        <v>2</v>
      </c>
      <c r="E92" s="6" t="s">
        <v>265</v>
      </c>
      <c r="F92" s="6" t="s">
        <v>126</v>
      </c>
      <c r="G92" s="8">
        <v>0</v>
      </c>
    </row>
    <row r="93" spans="2:7" x14ac:dyDescent="0.25">
      <c r="B93" s="6" t="s">
        <v>266</v>
      </c>
      <c r="C93" s="6" t="s">
        <v>57</v>
      </c>
      <c r="D93" s="8">
        <v>5</v>
      </c>
      <c r="E93" s="6" t="s">
        <v>267</v>
      </c>
      <c r="F93" s="6" t="s">
        <v>126</v>
      </c>
      <c r="G93" s="8">
        <v>0</v>
      </c>
    </row>
    <row r="94" spans="2:7" x14ac:dyDescent="0.25">
      <c r="B94" s="6" t="s">
        <v>268</v>
      </c>
      <c r="C94" s="6" t="s">
        <v>57</v>
      </c>
      <c r="D94" s="8">
        <v>6</v>
      </c>
      <c r="E94" s="6" t="s">
        <v>269</v>
      </c>
      <c r="F94" s="6" t="s">
        <v>126</v>
      </c>
      <c r="G94" s="8">
        <v>0</v>
      </c>
    </row>
    <row r="95" spans="2:7" x14ac:dyDescent="0.25">
      <c r="B95" s="6" t="s">
        <v>270</v>
      </c>
      <c r="C95" s="6" t="s">
        <v>57</v>
      </c>
      <c r="D95" s="8">
        <v>2</v>
      </c>
      <c r="E95" s="6" t="s">
        <v>271</v>
      </c>
      <c r="F95" s="6" t="s">
        <v>126</v>
      </c>
      <c r="G95" s="8">
        <v>0</v>
      </c>
    </row>
    <row r="96" spans="2:7" x14ac:dyDescent="0.25">
      <c r="B96" s="6" t="s">
        <v>272</v>
      </c>
      <c r="C96" s="6" t="s">
        <v>57</v>
      </c>
      <c r="D96" s="8">
        <v>4</v>
      </c>
      <c r="E96" s="6" t="s">
        <v>273</v>
      </c>
      <c r="F96" s="6" t="s">
        <v>126</v>
      </c>
      <c r="G96" s="8">
        <v>0</v>
      </c>
    </row>
    <row r="97" spans="2:7" x14ac:dyDescent="0.25">
      <c r="B97" s="6" t="s">
        <v>274</v>
      </c>
      <c r="C97" s="6" t="s">
        <v>57</v>
      </c>
      <c r="D97" s="8">
        <v>5</v>
      </c>
      <c r="E97" s="6" t="s">
        <v>275</v>
      </c>
      <c r="F97" s="6" t="s">
        <v>113</v>
      </c>
      <c r="G97" s="8">
        <v>4</v>
      </c>
    </row>
    <row r="98" spans="2:7" x14ac:dyDescent="0.25">
      <c r="B98" s="6" t="s">
        <v>276</v>
      </c>
      <c r="C98" s="6" t="s">
        <v>57</v>
      </c>
      <c r="D98" s="8">
        <v>5</v>
      </c>
      <c r="E98" s="6" t="s">
        <v>277</v>
      </c>
      <c r="F98" s="6" t="s">
        <v>113</v>
      </c>
      <c r="G98" s="8">
        <v>4</v>
      </c>
    </row>
    <row r="99" spans="2:7" x14ac:dyDescent="0.25">
      <c r="B99" s="6" t="s">
        <v>278</v>
      </c>
      <c r="C99" s="6" t="s">
        <v>57</v>
      </c>
      <c r="D99" s="8">
        <v>2</v>
      </c>
      <c r="E99" s="6" t="s">
        <v>279</v>
      </c>
      <c r="F99" s="6" t="s">
        <v>126</v>
      </c>
      <c r="G99" s="8">
        <v>0</v>
      </c>
    </row>
    <row r="100" spans="2:7" x14ac:dyDescent="0.25">
      <c r="B100" s="6" t="s">
        <v>280</v>
      </c>
      <c r="C100" s="6" t="s">
        <v>57</v>
      </c>
      <c r="D100" s="8">
        <v>3</v>
      </c>
      <c r="E100" s="6" t="s">
        <v>281</v>
      </c>
      <c r="F100" s="6" t="s">
        <v>113</v>
      </c>
      <c r="G100" s="8">
        <v>2</v>
      </c>
    </row>
    <row r="101" spans="2:7" x14ac:dyDescent="0.25">
      <c r="B101" s="6" t="s">
        <v>282</v>
      </c>
      <c r="C101" s="6" t="s">
        <v>57</v>
      </c>
      <c r="D101" s="8">
        <v>2</v>
      </c>
      <c r="E101" s="6" t="s">
        <v>283</v>
      </c>
      <c r="F101" s="6" t="s">
        <v>113</v>
      </c>
      <c r="G101" s="8">
        <v>1</v>
      </c>
    </row>
    <row r="102" spans="2:7" x14ac:dyDescent="0.25">
      <c r="B102" s="6" t="s">
        <v>284</v>
      </c>
      <c r="C102" s="6" t="s">
        <v>57</v>
      </c>
      <c r="D102" s="8">
        <v>5</v>
      </c>
      <c r="E102" s="6" t="s">
        <v>285</v>
      </c>
      <c r="F102" s="6" t="s">
        <v>113</v>
      </c>
      <c r="G102" s="8">
        <v>4</v>
      </c>
    </row>
    <row r="103" spans="2:7" x14ac:dyDescent="0.25">
      <c r="B103" s="6" t="s">
        <v>286</v>
      </c>
      <c r="C103" s="6" t="s">
        <v>57</v>
      </c>
      <c r="D103" s="8">
        <v>2</v>
      </c>
      <c r="E103" s="6" t="s">
        <v>287</v>
      </c>
      <c r="F103" s="6" t="s">
        <v>113</v>
      </c>
      <c r="G103" s="8">
        <v>1</v>
      </c>
    </row>
    <row r="104" spans="2:7" x14ac:dyDescent="0.25">
      <c r="B104" s="6" t="s">
        <v>288</v>
      </c>
      <c r="C104" s="6" t="s">
        <v>57</v>
      </c>
      <c r="D104" s="8">
        <v>3</v>
      </c>
      <c r="E104" s="6" t="s">
        <v>289</v>
      </c>
      <c r="F104" s="6" t="s">
        <v>126</v>
      </c>
      <c r="G104" s="8">
        <v>0</v>
      </c>
    </row>
    <row r="105" spans="2:7" x14ac:dyDescent="0.25">
      <c r="B105" s="6" t="s">
        <v>290</v>
      </c>
      <c r="C105" s="6" t="s">
        <v>57</v>
      </c>
      <c r="D105" s="8">
        <v>5</v>
      </c>
      <c r="E105" s="6" t="s">
        <v>291</v>
      </c>
      <c r="F105" s="6" t="s">
        <v>126</v>
      </c>
      <c r="G105" s="8">
        <v>0</v>
      </c>
    </row>
    <row r="106" spans="2:7" x14ac:dyDescent="0.25">
      <c r="B106" s="6" t="s">
        <v>292</v>
      </c>
      <c r="C106" s="6" t="s">
        <v>57</v>
      </c>
      <c r="D106" s="8">
        <v>10</v>
      </c>
      <c r="E106" s="6" t="s">
        <v>293</v>
      </c>
      <c r="F106" s="6" t="s">
        <v>113</v>
      </c>
      <c r="G106" s="8">
        <v>9</v>
      </c>
    </row>
    <row r="107" spans="2:7" x14ac:dyDescent="0.25">
      <c r="B107" s="6" t="s">
        <v>294</v>
      </c>
      <c r="C107" s="6" t="s">
        <v>57</v>
      </c>
      <c r="D107" s="8">
        <v>3</v>
      </c>
      <c r="E107" s="6" t="s">
        <v>295</v>
      </c>
      <c r="F107" s="6" t="s">
        <v>113</v>
      </c>
      <c r="G107" s="8">
        <v>2</v>
      </c>
    </row>
    <row r="108" spans="2:7" x14ac:dyDescent="0.25">
      <c r="B108" s="6" t="s">
        <v>296</v>
      </c>
      <c r="C108" s="6" t="s">
        <v>57</v>
      </c>
      <c r="D108" s="8">
        <v>5</v>
      </c>
      <c r="E108" s="6" t="s">
        <v>297</v>
      </c>
      <c r="F108" s="6" t="s">
        <v>126</v>
      </c>
      <c r="G108" s="8">
        <v>0</v>
      </c>
    </row>
    <row r="109" spans="2:7" x14ac:dyDescent="0.25">
      <c r="B109" s="6" t="s">
        <v>298</v>
      </c>
      <c r="C109" s="6" t="s">
        <v>57</v>
      </c>
      <c r="D109" s="8">
        <v>2</v>
      </c>
      <c r="E109" s="6" t="s">
        <v>299</v>
      </c>
      <c r="F109" s="6" t="s">
        <v>113</v>
      </c>
      <c r="G109" s="8">
        <v>1</v>
      </c>
    </row>
    <row r="110" spans="2:7" x14ac:dyDescent="0.25">
      <c r="B110" s="6" t="s">
        <v>300</v>
      </c>
      <c r="C110" s="6" t="s">
        <v>57</v>
      </c>
      <c r="D110" s="8">
        <v>3</v>
      </c>
      <c r="E110" s="6" t="s">
        <v>301</v>
      </c>
      <c r="F110" s="6" t="s">
        <v>113</v>
      </c>
      <c r="G110" s="8">
        <v>2</v>
      </c>
    </row>
    <row r="111" spans="2:7" x14ac:dyDescent="0.25">
      <c r="B111" s="6" t="s">
        <v>302</v>
      </c>
      <c r="C111" s="6" t="s">
        <v>57</v>
      </c>
      <c r="D111" s="8">
        <v>5</v>
      </c>
      <c r="E111" s="6" t="s">
        <v>303</v>
      </c>
      <c r="F111" s="6" t="s">
        <v>126</v>
      </c>
      <c r="G111" s="8">
        <v>0</v>
      </c>
    </row>
    <row r="112" spans="2:7" x14ac:dyDescent="0.25">
      <c r="B112" s="6" t="s">
        <v>304</v>
      </c>
      <c r="C112" s="6" t="s">
        <v>57</v>
      </c>
      <c r="D112" s="8">
        <v>5</v>
      </c>
      <c r="E112" s="6" t="s">
        <v>305</v>
      </c>
      <c r="F112" s="6" t="s">
        <v>126</v>
      </c>
      <c r="G112" s="8">
        <v>0</v>
      </c>
    </row>
    <row r="113" spans="2:7" x14ac:dyDescent="0.25">
      <c r="B113" s="6" t="s">
        <v>306</v>
      </c>
      <c r="C113" s="6" t="s">
        <v>57</v>
      </c>
      <c r="D113" s="8">
        <v>5</v>
      </c>
      <c r="E113" s="6" t="s">
        <v>307</v>
      </c>
      <c r="F113" s="6" t="s">
        <v>126</v>
      </c>
      <c r="G113" s="8">
        <v>0</v>
      </c>
    </row>
    <row r="114" spans="2:7" x14ac:dyDescent="0.25">
      <c r="B114" s="6" t="s">
        <v>308</v>
      </c>
      <c r="C114" s="6" t="s">
        <v>57</v>
      </c>
      <c r="D114" s="8">
        <v>2</v>
      </c>
      <c r="E114" s="6" t="s">
        <v>309</v>
      </c>
      <c r="F114" s="6" t="s">
        <v>113</v>
      </c>
      <c r="G114" s="8">
        <v>1</v>
      </c>
    </row>
    <row r="115" spans="2:7" x14ac:dyDescent="0.25">
      <c r="B115" s="6" t="s">
        <v>310</v>
      </c>
      <c r="C115" s="6" t="s">
        <v>57</v>
      </c>
      <c r="D115" s="8">
        <v>2</v>
      </c>
      <c r="E115" s="6" t="s">
        <v>311</v>
      </c>
      <c r="F115" s="6" t="s">
        <v>113</v>
      </c>
      <c r="G115" s="8">
        <v>1</v>
      </c>
    </row>
    <row r="116" spans="2:7" x14ac:dyDescent="0.25">
      <c r="B116" s="6" t="s">
        <v>312</v>
      </c>
      <c r="C116" s="6" t="s">
        <v>57</v>
      </c>
      <c r="D116" s="8">
        <v>284</v>
      </c>
      <c r="E116" s="6" t="s">
        <v>313</v>
      </c>
      <c r="F116" s="6" t="s">
        <v>113</v>
      </c>
      <c r="G116" s="8">
        <v>281</v>
      </c>
    </row>
    <row r="117" spans="2:7" x14ac:dyDescent="0.25">
      <c r="B117" s="6" t="s">
        <v>314</v>
      </c>
      <c r="C117" s="6" t="s">
        <v>57</v>
      </c>
      <c r="D117" s="8">
        <v>2</v>
      </c>
      <c r="E117" s="6" t="s">
        <v>315</v>
      </c>
      <c r="F117" s="6" t="s">
        <v>113</v>
      </c>
      <c r="G117" s="8">
        <v>1</v>
      </c>
    </row>
    <row r="118" spans="2:7" x14ac:dyDescent="0.25">
      <c r="B118" s="6" t="s">
        <v>316</v>
      </c>
      <c r="C118" s="6" t="s">
        <v>57</v>
      </c>
      <c r="D118" s="8">
        <v>2</v>
      </c>
      <c r="E118" s="6" t="s">
        <v>317</v>
      </c>
      <c r="F118" s="6" t="s">
        <v>113</v>
      </c>
      <c r="G118" s="8">
        <v>1</v>
      </c>
    </row>
    <row r="119" spans="2:7" x14ac:dyDescent="0.25">
      <c r="B119" s="6" t="s">
        <v>318</v>
      </c>
      <c r="C119" s="6" t="s">
        <v>57</v>
      </c>
      <c r="D119" s="8">
        <v>20</v>
      </c>
      <c r="E119" s="6" t="s">
        <v>319</v>
      </c>
      <c r="F119" s="6" t="s">
        <v>113</v>
      </c>
      <c r="G119" s="8">
        <v>17</v>
      </c>
    </row>
    <row r="120" spans="2:7" x14ac:dyDescent="0.25">
      <c r="B120" s="6" t="s">
        <v>320</v>
      </c>
      <c r="C120" s="6" t="s">
        <v>57</v>
      </c>
      <c r="D120" s="8">
        <v>10</v>
      </c>
      <c r="E120" s="6" t="s">
        <v>321</v>
      </c>
      <c r="F120" s="6" t="s">
        <v>126</v>
      </c>
      <c r="G120" s="8">
        <v>0</v>
      </c>
    </row>
    <row r="121" spans="2:7" x14ac:dyDescent="0.25">
      <c r="B121" s="6" t="s">
        <v>322</v>
      </c>
      <c r="C121" s="6" t="s">
        <v>57</v>
      </c>
      <c r="D121" s="8">
        <v>2</v>
      </c>
      <c r="E121" s="6" t="s">
        <v>323</v>
      </c>
      <c r="F121" s="6" t="s">
        <v>113</v>
      </c>
      <c r="G121" s="8">
        <v>1</v>
      </c>
    </row>
    <row r="122" spans="2:7" x14ac:dyDescent="0.25">
      <c r="B122" s="6" t="s">
        <v>324</v>
      </c>
      <c r="C122" s="6" t="s">
        <v>57</v>
      </c>
      <c r="D122" s="8">
        <v>2</v>
      </c>
      <c r="E122" s="6" t="s">
        <v>325</v>
      </c>
      <c r="F122" s="6" t="s">
        <v>113</v>
      </c>
      <c r="G122" s="8">
        <v>1</v>
      </c>
    </row>
    <row r="123" spans="2:7" x14ac:dyDescent="0.25">
      <c r="B123" s="6" t="s">
        <v>326</v>
      </c>
      <c r="C123" s="6" t="s">
        <v>57</v>
      </c>
      <c r="D123" s="8">
        <v>3</v>
      </c>
      <c r="E123" s="6" t="s">
        <v>327</v>
      </c>
      <c r="F123" s="6" t="s">
        <v>113</v>
      </c>
      <c r="G123" s="8">
        <v>1</v>
      </c>
    </row>
    <row r="124" spans="2:7" x14ac:dyDescent="0.25">
      <c r="B124" s="6" t="s">
        <v>328</v>
      </c>
      <c r="C124" s="6" t="s">
        <v>57</v>
      </c>
      <c r="D124" s="8">
        <v>4</v>
      </c>
      <c r="E124" s="6" t="s">
        <v>329</v>
      </c>
      <c r="F124" s="6" t="s">
        <v>113</v>
      </c>
      <c r="G124" s="8">
        <v>1</v>
      </c>
    </row>
    <row r="125" spans="2:7" x14ac:dyDescent="0.25">
      <c r="B125" s="6" t="s">
        <v>330</v>
      </c>
      <c r="C125" s="6" t="s">
        <v>57</v>
      </c>
      <c r="D125" s="8">
        <v>1</v>
      </c>
      <c r="E125" s="6" t="s">
        <v>331</v>
      </c>
      <c r="F125" s="6" t="s">
        <v>113</v>
      </c>
      <c r="G125" s="6">
        <v>1</v>
      </c>
    </row>
    <row r="126" spans="2:7" x14ac:dyDescent="0.25">
      <c r="B126" s="6" t="s">
        <v>332</v>
      </c>
      <c r="C126" s="6" t="s">
        <v>57</v>
      </c>
      <c r="D126" s="8">
        <v>1</v>
      </c>
      <c r="E126" s="6" t="s">
        <v>333</v>
      </c>
      <c r="F126" s="6" t="s">
        <v>113</v>
      </c>
      <c r="G126" s="6">
        <v>1</v>
      </c>
    </row>
    <row r="127" spans="2:7" x14ac:dyDescent="0.25">
      <c r="B127" s="6" t="s">
        <v>334</v>
      </c>
      <c r="C127" s="6" t="s">
        <v>57</v>
      </c>
      <c r="D127" s="8">
        <v>2</v>
      </c>
      <c r="E127" s="6" t="s">
        <v>335</v>
      </c>
      <c r="F127" s="6" t="s">
        <v>126</v>
      </c>
      <c r="G127" s="6">
        <v>0</v>
      </c>
    </row>
    <row r="128" spans="2:7" x14ac:dyDescent="0.25">
      <c r="B128" s="6" t="s">
        <v>336</v>
      </c>
      <c r="C128" s="6" t="s">
        <v>57</v>
      </c>
      <c r="D128" s="8">
        <v>2</v>
      </c>
      <c r="E128" s="6" t="s">
        <v>337</v>
      </c>
      <c r="F128" s="6" t="s">
        <v>126</v>
      </c>
      <c r="G128" s="6">
        <v>0</v>
      </c>
    </row>
    <row r="129" spans="2:7" x14ac:dyDescent="0.25">
      <c r="B129" s="6" t="s">
        <v>338</v>
      </c>
      <c r="C129" s="6" t="s">
        <v>57</v>
      </c>
      <c r="D129" s="8">
        <v>2</v>
      </c>
      <c r="E129" s="6" t="s">
        <v>339</v>
      </c>
      <c r="F129" s="6" t="s">
        <v>113</v>
      </c>
      <c r="G129" s="6">
        <v>1</v>
      </c>
    </row>
    <row r="130" spans="2:7" x14ac:dyDescent="0.25">
      <c r="B130" s="6" t="s">
        <v>340</v>
      </c>
      <c r="C130" s="6" t="s">
        <v>57</v>
      </c>
      <c r="D130" s="8">
        <v>2</v>
      </c>
      <c r="E130" s="6" t="s">
        <v>341</v>
      </c>
      <c r="F130" s="6" t="s">
        <v>113</v>
      </c>
      <c r="G130" s="6">
        <v>8</v>
      </c>
    </row>
    <row r="131" spans="2:7" x14ac:dyDescent="0.25">
      <c r="B131" s="6" t="s">
        <v>342</v>
      </c>
      <c r="C131" s="6" t="s">
        <v>57</v>
      </c>
      <c r="D131" s="8">
        <v>5</v>
      </c>
      <c r="E131" s="6" t="s">
        <v>343</v>
      </c>
      <c r="F131" s="6" t="s">
        <v>113</v>
      </c>
      <c r="G131" s="6">
        <v>5</v>
      </c>
    </row>
    <row r="132" spans="2:7" x14ac:dyDescent="0.25">
      <c r="B132" s="6" t="s">
        <v>344</v>
      </c>
      <c r="C132" s="6" t="s">
        <v>57</v>
      </c>
      <c r="D132" s="8">
        <v>4</v>
      </c>
      <c r="E132" s="6" t="s">
        <v>345</v>
      </c>
      <c r="F132" s="6" t="s">
        <v>113</v>
      </c>
      <c r="G132" s="6">
        <v>6</v>
      </c>
    </row>
    <row r="133" spans="2:7" x14ac:dyDescent="0.25">
      <c r="B133" s="6" t="s">
        <v>346</v>
      </c>
      <c r="C133" s="6" t="s">
        <v>57</v>
      </c>
      <c r="D133" s="8">
        <v>5</v>
      </c>
      <c r="E133" s="6" t="s">
        <v>347</v>
      </c>
      <c r="F133" s="6" t="s">
        <v>126</v>
      </c>
      <c r="G133" s="6">
        <v>0</v>
      </c>
    </row>
    <row r="134" spans="2:7" x14ac:dyDescent="0.25">
      <c r="B134" s="6" t="s">
        <v>348</v>
      </c>
      <c r="C134" s="6" t="s">
        <v>57</v>
      </c>
      <c r="D134" s="8">
        <v>5</v>
      </c>
      <c r="E134" s="6" t="s">
        <v>349</v>
      </c>
      <c r="F134" s="6" t="s">
        <v>126</v>
      </c>
      <c r="G134" s="6">
        <v>0</v>
      </c>
    </row>
    <row r="135" spans="2:7" x14ac:dyDescent="0.25">
      <c r="B135" s="6" t="s">
        <v>350</v>
      </c>
      <c r="C135" s="6" t="s">
        <v>57</v>
      </c>
      <c r="D135" s="8">
        <v>3</v>
      </c>
      <c r="E135" s="6" t="s">
        <v>351</v>
      </c>
      <c r="F135" s="6" t="s">
        <v>126</v>
      </c>
      <c r="G135" s="6">
        <v>0</v>
      </c>
    </row>
    <row r="136" spans="2:7" x14ac:dyDescent="0.25">
      <c r="B136" s="6" t="s">
        <v>352</v>
      </c>
      <c r="C136" s="6" t="s">
        <v>57</v>
      </c>
      <c r="D136" s="8">
        <v>2</v>
      </c>
      <c r="E136" s="6" t="s">
        <v>353</v>
      </c>
      <c r="F136" s="6" t="s">
        <v>126</v>
      </c>
      <c r="G136" s="6">
        <v>0</v>
      </c>
    </row>
    <row r="137" spans="2:7" x14ac:dyDescent="0.25">
      <c r="B137" s="6" t="s">
        <v>354</v>
      </c>
      <c r="C137" s="6" t="s">
        <v>57</v>
      </c>
      <c r="D137" s="8">
        <v>5</v>
      </c>
      <c r="E137" s="6" t="s">
        <v>355</v>
      </c>
      <c r="F137" s="6" t="s">
        <v>126</v>
      </c>
      <c r="G137" s="6">
        <v>0</v>
      </c>
    </row>
    <row r="138" spans="2:7" x14ac:dyDescent="0.25">
      <c r="B138" s="6" t="s">
        <v>356</v>
      </c>
      <c r="C138" s="6" t="s">
        <v>57</v>
      </c>
      <c r="D138" s="8">
        <v>2</v>
      </c>
      <c r="E138" s="6" t="s">
        <v>357</v>
      </c>
      <c r="F138" s="6" t="s">
        <v>126</v>
      </c>
      <c r="G138" s="6">
        <v>0</v>
      </c>
    </row>
    <row r="139" spans="2:7" x14ac:dyDescent="0.25">
      <c r="B139" s="6" t="s">
        <v>358</v>
      </c>
      <c r="C139" s="6" t="s">
        <v>57</v>
      </c>
      <c r="D139" s="8">
        <v>3</v>
      </c>
      <c r="E139" s="6" t="s">
        <v>359</v>
      </c>
      <c r="F139" s="6" t="s">
        <v>126</v>
      </c>
      <c r="G139" s="6">
        <v>0</v>
      </c>
    </row>
    <row r="140" spans="2:7" x14ac:dyDescent="0.25">
      <c r="B140" s="6" t="s">
        <v>360</v>
      </c>
      <c r="C140" s="6" t="s">
        <v>57</v>
      </c>
      <c r="D140" s="8">
        <v>10</v>
      </c>
      <c r="E140" s="6" t="s">
        <v>361</v>
      </c>
      <c r="F140" s="6" t="s">
        <v>126</v>
      </c>
      <c r="G140" s="6">
        <v>0</v>
      </c>
    </row>
    <row r="141" spans="2:7" x14ac:dyDescent="0.25">
      <c r="B141" s="6" t="s">
        <v>362</v>
      </c>
      <c r="C141" s="6" t="s">
        <v>57</v>
      </c>
      <c r="D141" s="8">
        <v>2</v>
      </c>
      <c r="E141" s="6" t="s">
        <v>363</v>
      </c>
      <c r="F141" s="6" t="s">
        <v>126</v>
      </c>
      <c r="G141" s="6">
        <v>0</v>
      </c>
    </row>
    <row r="142" spans="2:7" x14ac:dyDescent="0.25">
      <c r="B142" s="6" t="s">
        <v>364</v>
      </c>
      <c r="C142" s="6" t="s">
        <v>57</v>
      </c>
      <c r="D142" s="8">
        <v>2</v>
      </c>
      <c r="E142" s="6" t="s">
        <v>365</v>
      </c>
      <c r="F142" s="6" t="s">
        <v>126</v>
      </c>
      <c r="G142" s="6">
        <v>0</v>
      </c>
    </row>
    <row r="143" spans="2:7" x14ac:dyDescent="0.25">
      <c r="B143" s="6" t="s">
        <v>366</v>
      </c>
      <c r="C143" s="6" t="s">
        <v>57</v>
      </c>
      <c r="D143" s="8">
        <v>2</v>
      </c>
      <c r="E143" s="6" t="s">
        <v>367</v>
      </c>
      <c r="F143" s="6" t="s">
        <v>126</v>
      </c>
      <c r="G143" s="6">
        <v>0</v>
      </c>
    </row>
    <row r="144" spans="2:7" x14ac:dyDescent="0.25">
      <c r="B144" s="6" t="s">
        <v>368</v>
      </c>
      <c r="C144" s="6" t="s">
        <v>57</v>
      </c>
      <c r="D144" s="8">
        <v>2</v>
      </c>
      <c r="E144" s="6" t="s">
        <v>369</v>
      </c>
      <c r="F144" s="6" t="s">
        <v>126</v>
      </c>
      <c r="G144" s="6">
        <v>0</v>
      </c>
    </row>
    <row r="145" spans="2:7" x14ac:dyDescent="0.25">
      <c r="B145" s="6" t="s">
        <v>370</v>
      </c>
      <c r="C145" s="6" t="s">
        <v>57</v>
      </c>
      <c r="D145" s="8">
        <v>3</v>
      </c>
      <c r="E145" s="6" t="s">
        <v>371</v>
      </c>
      <c r="F145" s="6" t="s">
        <v>126</v>
      </c>
      <c r="G145" s="6">
        <v>0</v>
      </c>
    </row>
    <row r="146" spans="2:7" x14ac:dyDescent="0.25">
      <c r="B146" s="6" t="s">
        <v>372</v>
      </c>
      <c r="C146" s="6" t="s">
        <v>57</v>
      </c>
      <c r="D146" s="8">
        <v>2</v>
      </c>
      <c r="E146" s="6" t="s">
        <v>373</v>
      </c>
      <c r="F146" s="6" t="s">
        <v>126</v>
      </c>
      <c r="G146" s="6">
        <v>0</v>
      </c>
    </row>
    <row r="147" spans="2:7" x14ac:dyDescent="0.25">
      <c r="B147" s="6" t="s">
        <v>374</v>
      </c>
      <c r="C147" s="6" t="s">
        <v>57</v>
      </c>
      <c r="D147" s="8">
        <v>10</v>
      </c>
      <c r="E147" s="6" t="s">
        <v>375</v>
      </c>
      <c r="F147" s="6" t="s">
        <v>113</v>
      </c>
      <c r="G147" s="6">
        <v>10</v>
      </c>
    </row>
    <row r="148" spans="2:7" x14ac:dyDescent="0.25">
      <c r="B148" s="6" t="s">
        <v>376</v>
      </c>
      <c r="C148" s="6" t="s">
        <v>57</v>
      </c>
      <c r="D148" s="8">
        <v>2</v>
      </c>
      <c r="E148" s="6" t="s">
        <v>377</v>
      </c>
      <c r="F148" s="6" t="s">
        <v>126</v>
      </c>
      <c r="G148" s="6">
        <v>0</v>
      </c>
    </row>
    <row r="149" spans="2:7" x14ac:dyDescent="0.25">
      <c r="B149" s="6" t="s">
        <v>378</v>
      </c>
      <c r="C149" s="6" t="s">
        <v>57</v>
      </c>
      <c r="D149" s="8">
        <v>2</v>
      </c>
      <c r="E149" s="6" t="s">
        <v>379</v>
      </c>
      <c r="F149" s="6" t="s">
        <v>126</v>
      </c>
      <c r="G149" s="6">
        <v>0</v>
      </c>
    </row>
    <row r="150" spans="2:7" x14ac:dyDescent="0.25">
      <c r="B150" s="6" t="s">
        <v>380</v>
      </c>
      <c r="C150" s="6" t="s">
        <v>57</v>
      </c>
      <c r="D150" s="8">
        <v>3</v>
      </c>
      <c r="E150" s="6" t="s">
        <v>381</v>
      </c>
      <c r="F150" s="6" t="s">
        <v>126</v>
      </c>
      <c r="G150" s="6">
        <v>0</v>
      </c>
    </row>
    <row r="151" spans="2:7" x14ac:dyDescent="0.25">
      <c r="B151" s="6" t="s">
        <v>382</v>
      </c>
      <c r="C151" s="6" t="s">
        <v>57</v>
      </c>
      <c r="D151" s="8">
        <v>4</v>
      </c>
      <c r="E151" s="6" t="s">
        <v>383</v>
      </c>
      <c r="F151" s="6" t="s">
        <v>126</v>
      </c>
      <c r="G151" s="6">
        <v>0</v>
      </c>
    </row>
    <row r="152" spans="2:7" x14ac:dyDescent="0.25">
      <c r="B152" s="6" t="s">
        <v>384</v>
      </c>
      <c r="C152" s="6" t="s">
        <v>57</v>
      </c>
      <c r="D152" s="8">
        <v>20</v>
      </c>
      <c r="E152" s="6" t="s">
        <v>385</v>
      </c>
      <c r="F152" s="6" t="s">
        <v>126</v>
      </c>
      <c r="G152" s="6">
        <v>0</v>
      </c>
    </row>
    <row r="153" spans="2:7" x14ac:dyDescent="0.25">
      <c r="B153" s="6" t="s">
        <v>390</v>
      </c>
      <c r="C153" s="6" t="s">
        <v>57</v>
      </c>
      <c r="D153" s="8">
        <v>74.999399999999994</v>
      </c>
      <c r="E153" s="6" t="s">
        <v>391</v>
      </c>
      <c r="F153" s="6" t="s">
        <v>113</v>
      </c>
      <c r="G153" s="6">
        <v>6.0000000000570708E-4</v>
      </c>
    </row>
    <row r="154" spans="2:7" ht="15.75" thickBot="1" x14ac:dyDescent="0.3">
      <c r="B154" s="4" t="s">
        <v>386</v>
      </c>
      <c r="C154" s="4"/>
      <c r="D154" s="4"/>
      <c r="E154" s="4"/>
      <c r="F154" s="4"/>
      <c r="G15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Views>
    <sheetView showGridLines="0" workbookViewId="0">
      <selection activeCell="A23" sqref="A23"/>
    </sheetView>
  </sheetViews>
  <sheetFormatPr defaultRowHeight="15" x14ac:dyDescent="0.25"/>
  <cols>
    <col min="1" max="1" width="2.125" customWidth="1"/>
    <col min="2" max="2" width="17.125" customWidth="1"/>
    <col min="3" max="3" width="5.5" customWidth="1"/>
    <col min="4" max="4" width="11.875" bestFit="1" customWidth="1"/>
    <col min="5" max="5" width="14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203</v>
      </c>
    </row>
    <row r="3" spans="1:5" x14ac:dyDescent="0.25">
      <c r="A3" s="3" t="s">
        <v>394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388</v>
      </c>
    </row>
    <row r="8" spans="1:5" x14ac:dyDescent="0.25">
      <c r="A8" s="3"/>
      <c r="B8" t="s">
        <v>395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5" t="s">
        <v>70</v>
      </c>
      <c r="C15" s="5" t="s">
        <v>71</v>
      </c>
      <c r="D15" s="5" t="s">
        <v>72</v>
      </c>
      <c r="E15" s="5" t="s">
        <v>73</v>
      </c>
    </row>
    <row r="16" spans="1:5" ht="15.75" thickBot="1" x14ac:dyDescent="0.3">
      <c r="B16" s="4" t="s">
        <v>209</v>
      </c>
      <c r="C16" s="4" t="s">
        <v>57</v>
      </c>
      <c r="D16" s="7">
        <v>74.999399999999994</v>
      </c>
      <c r="E16" s="7">
        <v>74.999800000000008</v>
      </c>
    </row>
    <row r="19" spans="1:6" ht="15.75" thickBot="1" x14ac:dyDescent="0.3">
      <c r="A19" t="s">
        <v>74</v>
      </c>
    </row>
    <row r="20" spans="1:6" ht="15.75" thickBot="1" x14ac:dyDescent="0.3"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75</v>
      </c>
    </row>
    <row r="21" spans="1:6" x14ac:dyDescent="0.25">
      <c r="B21" s="6" t="s">
        <v>81</v>
      </c>
      <c r="C21" s="6" t="s">
        <v>0</v>
      </c>
      <c r="D21" s="8">
        <v>75</v>
      </c>
      <c r="E21" s="8">
        <v>55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20</v>
      </c>
      <c r="E22" s="8">
        <v>20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20</v>
      </c>
      <c r="E23" s="8">
        <v>20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10</v>
      </c>
      <c r="E24" s="8">
        <v>10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10</v>
      </c>
      <c r="E26" s="8">
        <v>10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10</v>
      </c>
      <c r="E27" s="8">
        <v>10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10</v>
      </c>
      <c r="E28" s="8">
        <v>10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10</v>
      </c>
      <c r="E29" s="8">
        <v>10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10</v>
      </c>
      <c r="E31" s="8">
        <v>10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2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2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2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2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5</v>
      </c>
      <c r="E43" s="8">
        <v>5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5</v>
      </c>
      <c r="E44" s="8">
        <v>5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2</v>
      </c>
      <c r="E45" s="8">
        <v>378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3</v>
      </c>
      <c r="E46" s="8">
        <v>3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2</v>
      </c>
      <c r="E47" s="8">
        <v>2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5</v>
      </c>
      <c r="E48" s="8">
        <v>5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2</v>
      </c>
      <c r="E49" s="8">
        <v>2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3</v>
      </c>
      <c r="E50" s="8">
        <v>3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3</v>
      </c>
      <c r="E53" s="8">
        <v>3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2</v>
      </c>
      <c r="E55" s="8">
        <v>2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3</v>
      </c>
      <c r="E56" s="8">
        <v>3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5</v>
      </c>
      <c r="E59" s="8">
        <v>5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2</v>
      </c>
      <c r="E60" s="8">
        <v>2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284</v>
      </c>
      <c r="E62" s="8">
        <v>50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2</v>
      </c>
      <c r="E63" s="8">
        <v>2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20</v>
      </c>
      <c r="E65" s="8">
        <v>20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2</v>
      </c>
      <c r="E68" s="8">
        <v>2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3</v>
      </c>
      <c r="F69" s="6" t="s">
        <v>75</v>
      </c>
    </row>
    <row r="70" spans="1:7" ht="15.75" thickBot="1" x14ac:dyDescent="0.3">
      <c r="B70" s="4" t="s">
        <v>229</v>
      </c>
      <c r="C70" s="4" t="s">
        <v>49</v>
      </c>
      <c r="D70" s="7">
        <v>4</v>
      </c>
      <c r="E70" s="7">
        <v>4</v>
      </c>
      <c r="F70" s="4" t="s">
        <v>75</v>
      </c>
    </row>
    <row r="73" spans="1:7" ht="15.75" thickBot="1" x14ac:dyDescent="0.3">
      <c r="A73" t="s">
        <v>51</v>
      </c>
    </row>
    <row r="74" spans="1:7" ht="15.75" thickBot="1" x14ac:dyDescent="0.3">
      <c r="B74" s="5" t="s">
        <v>70</v>
      </c>
      <c r="C74" s="5" t="s">
        <v>71</v>
      </c>
      <c r="D74" s="5" t="s">
        <v>76</v>
      </c>
      <c r="E74" s="5" t="s">
        <v>77</v>
      </c>
      <c r="F74" s="5" t="s">
        <v>78</v>
      </c>
      <c r="G74" s="5" t="s">
        <v>79</v>
      </c>
    </row>
    <row r="75" spans="1:7" x14ac:dyDescent="0.25">
      <c r="B75" s="6" t="s">
        <v>230</v>
      </c>
      <c r="C75" s="6" t="s">
        <v>57</v>
      </c>
      <c r="D75" s="8">
        <v>55</v>
      </c>
      <c r="E75" s="6" t="s">
        <v>231</v>
      </c>
      <c r="F75" s="6" t="s">
        <v>113</v>
      </c>
      <c r="G75" s="8">
        <v>35</v>
      </c>
    </row>
    <row r="76" spans="1:7" x14ac:dyDescent="0.25">
      <c r="B76" s="6" t="s">
        <v>232</v>
      </c>
      <c r="C76" s="6" t="s">
        <v>57</v>
      </c>
      <c r="D76" s="8">
        <v>20</v>
      </c>
      <c r="E76" s="6" t="s">
        <v>233</v>
      </c>
      <c r="F76" s="6" t="s">
        <v>126</v>
      </c>
      <c r="G76" s="8">
        <v>0</v>
      </c>
    </row>
    <row r="77" spans="1:7" x14ac:dyDescent="0.25">
      <c r="B77" s="6" t="s">
        <v>234</v>
      </c>
      <c r="C77" s="6" t="s">
        <v>57</v>
      </c>
      <c r="D77" s="8">
        <v>20</v>
      </c>
      <c r="E77" s="6" t="s">
        <v>235</v>
      </c>
      <c r="F77" s="6" t="s">
        <v>126</v>
      </c>
      <c r="G77" s="8">
        <v>0</v>
      </c>
    </row>
    <row r="78" spans="1:7" x14ac:dyDescent="0.25">
      <c r="B78" s="6" t="s">
        <v>236</v>
      </c>
      <c r="C78" s="6" t="s">
        <v>57</v>
      </c>
      <c r="D78" s="8">
        <v>10</v>
      </c>
      <c r="E78" s="6" t="s">
        <v>237</v>
      </c>
      <c r="F78" s="6" t="s">
        <v>126</v>
      </c>
      <c r="G78" s="8">
        <v>0</v>
      </c>
    </row>
    <row r="79" spans="1:7" x14ac:dyDescent="0.25">
      <c r="B79" s="6" t="s">
        <v>238</v>
      </c>
      <c r="C79" s="6" t="s">
        <v>57</v>
      </c>
      <c r="D79" s="8">
        <v>1</v>
      </c>
      <c r="E79" s="6" t="s">
        <v>239</v>
      </c>
      <c r="F79" s="6" t="s">
        <v>126</v>
      </c>
      <c r="G79" s="8">
        <v>0</v>
      </c>
    </row>
    <row r="80" spans="1:7" x14ac:dyDescent="0.25">
      <c r="B80" s="6" t="s">
        <v>240</v>
      </c>
      <c r="C80" s="6" t="s">
        <v>57</v>
      </c>
      <c r="D80" s="8">
        <v>10</v>
      </c>
      <c r="E80" s="6" t="s">
        <v>241</v>
      </c>
      <c r="F80" s="6" t="s">
        <v>126</v>
      </c>
      <c r="G80" s="8">
        <v>0</v>
      </c>
    </row>
    <row r="81" spans="2:7" x14ac:dyDescent="0.25">
      <c r="B81" s="6" t="s">
        <v>242</v>
      </c>
      <c r="C81" s="6" t="s">
        <v>57</v>
      </c>
      <c r="D81" s="8">
        <v>10</v>
      </c>
      <c r="E81" s="6" t="s">
        <v>243</v>
      </c>
      <c r="F81" s="6" t="s">
        <v>126</v>
      </c>
      <c r="G81" s="8">
        <v>0</v>
      </c>
    </row>
    <row r="82" spans="2:7" x14ac:dyDescent="0.25">
      <c r="B82" s="6" t="s">
        <v>244</v>
      </c>
      <c r="C82" s="6" t="s">
        <v>57</v>
      </c>
      <c r="D82" s="8">
        <v>10</v>
      </c>
      <c r="E82" s="6" t="s">
        <v>245</v>
      </c>
      <c r="F82" s="6" t="s">
        <v>126</v>
      </c>
      <c r="G82" s="8">
        <v>0</v>
      </c>
    </row>
    <row r="83" spans="2:7" x14ac:dyDescent="0.25">
      <c r="B83" s="6" t="s">
        <v>246</v>
      </c>
      <c r="C83" s="6" t="s">
        <v>57</v>
      </c>
      <c r="D83" s="8">
        <v>10</v>
      </c>
      <c r="E83" s="6" t="s">
        <v>247</v>
      </c>
      <c r="F83" s="6" t="s">
        <v>126</v>
      </c>
      <c r="G83" s="8">
        <v>0</v>
      </c>
    </row>
    <row r="84" spans="2:7" x14ac:dyDescent="0.25">
      <c r="B84" s="6" t="s">
        <v>248</v>
      </c>
      <c r="C84" s="6" t="s">
        <v>57</v>
      </c>
      <c r="D84" s="8">
        <v>1</v>
      </c>
      <c r="E84" s="6" t="s">
        <v>249</v>
      </c>
      <c r="F84" s="6" t="s">
        <v>126</v>
      </c>
      <c r="G84" s="8">
        <v>0</v>
      </c>
    </row>
    <row r="85" spans="2:7" x14ac:dyDescent="0.25">
      <c r="B85" s="6" t="s">
        <v>250</v>
      </c>
      <c r="C85" s="6" t="s">
        <v>57</v>
      </c>
      <c r="D85" s="8">
        <v>10</v>
      </c>
      <c r="E85" s="6" t="s">
        <v>251</v>
      </c>
      <c r="F85" s="6" t="s">
        <v>126</v>
      </c>
      <c r="G85" s="8">
        <v>0</v>
      </c>
    </row>
    <row r="86" spans="2:7" x14ac:dyDescent="0.25">
      <c r="B86" s="6" t="s">
        <v>252</v>
      </c>
      <c r="C86" s="6" t="s">
        <v>57</v>
      </c>
      <c r="D86" s="8">
        <v>3</v>
      </c>
      <c r="E86" s="6" t="s">
        <v>253</v>
      </c>
      <c r="F86" s="6" t="s">
        <v>126</v>
      </c>
      <c r="G86" s="8">
        <v>0</v>
      </c>
    </row>
    <row r="87" spans="2:7" x14ac:dyDescent="0.25">
      <c r="B87" s="6" t="s">
        <v>254</v>
      </c>
      <c r="C87" s="6" t="s">
        <v>57</v>
      </c>
      <c r="D87" s="8">
        <v>5</v>
      </c>
      <c r="E87" s="6" t="s">
        <v>255</v>
      </c>
      <c r="F87" s="6" t="s">
        <v>126</v>
      </c>
      <c r="G87" s="8">
        <v>0</v>
      </c>
    </row>
    <row r="88" spans="2:7" x14ac:dyDescent="0.25">
      <c r="B88" s="6" t="s">
        <v>256</v>
      </c>
      <c r="C88" s="6" t="s">
        <v>57</v>
      </c>
      <c r="D88" s="8">
        <v>2</v>
      </c>
      <c r="E88" s="6" t="s">
        <v>257</v>
      </c>
      <c r="F88" s="6" t="s">
        <v>113</v>
      </c>
      <c r="G88" s="8">
        <v>1</v>
      </c>
    </row>
    <row r="89" spans="2:7" x14ac:dyDescent="0.25">
      <c r="B89" s="6" t="s">
        <v>258</v>
      </c>
      <c r="C89" s="6" t="s">
        <v>57</v>
      </c>
      <c r="D89" s="8">
        <v>2</v>
      </c>
      <c r="E89" s="6" t="s">
        <v>259</v>
      </c>
      <c r="F89" s="6" t="s">
        <v>113</v>
      </c>
      <c r="G89" s="8">
        <v>1</v>
      </c>
    </row>
    <row r="90" spans="2:7" x14ac:dyDescent="0.25">
      <c r="B90" s="6" t="s">
        <v>260</v>
      </c>
      <c r="C90" s="6" t="s">
        <v>57</v>
      </c>
      <c r="D90" s="8">
        <v>2</v>
      </c>
      <c r="E90" s="6" t="s">
        <v>261</v>
      </c>
      <c r="F90" s="6" t="s">
        <v>126</v>
      </c>
      <c r="G90" s="8">
        <v>0</v>
      </c>
    </row>
    <row r="91" spans="2:7" x14ac:dyDescent="0.25">
      <c r="B91" s="6" t="s">
        <v>262</v>
      </c>
      <c r="C91" s="6" t="s">
        <v>57</v>
      </c>
      <c r="D91" s="8">
        <v>20</v>
      </c>
      <c r="E91" s="6" t="s">
        <v>263</v>
      </c>
      <c r="F91" s="6" t="s">
        <v>126</v>
      </c>
      <c r="G91" s="8">
        <v>0</v>
      </c>
    </row>
    <row r="92" spans="2:7" x14ac:dyDescent="0.25">
      <c r="B92" s="6" t="s">
        <v>264</v>
      </c>
      <c r="C92" s="6" t="s">
        <v>57</v>
      </c>
      <c r="D92" s="8">
        <v>2</v>
      </c>
      <c r="E92" s="6" t="s">
        <v>265</v>
      </c>
      <c r="F92" s="6" t="s">
        <v>126</v>
      </c>
      <c r="G92" s="8">
        <v>0</v>
      </c>
    </row>
    <row r="93" spans="2:7" x14ac:dyDescent="0.25">
      <c r="B93" s="6" t="s">
        <v>266</v>
      </c>
      <c r="C93" s="6" t="s">
        <v>57</v>
      </c>
      <c r="D93" s="8">
        <v>5</v>
      </c>
      <c r="E93" s="6" t="s">
        <v>267</v>
      </c>
      <c r="F93" s="6" t="s">
        <v>126</v>
      </c>
      <c r="G93" s="8">
        <v>0</v>
      </c>
    </row>
    <row r="94" spans="2:7" x14ac:dyDescent="0.25">
      <c r="B94" s="6" t="s">
        <v>268</v>
      </c>
      <c r="C94" s="6" t="s">
        <v>57</v>
      </c>
      <c r="D94" s="8">
        <v>6</v>
      </c>
      <c r="E94" s="6" t="s">
        <v>269</v>
      </c>
      <c r="F94" s="6" t="s">
        <v>126</v>
      </c>
      <c r="G94" s="8">
        <v>0</v>
      </c>
    </row>
    <row r="95" spans="2:7" x14ac:dyDescent="0.25">
      <c r="B95" s="6" t="s">
        <v>270</v>
      </c>
      <c r="C95" s="6" t="s">
        <v>57</v>
      </c>
      <c r="D95" s="8">
        <v>2</v>
      </c>
      <c r="E95" s="6" t="s">
        <v>271</v>
      </c>
      <c r="F95" s="6" t="s">
        <v>126</v>
      </c>
      <c r="G95" s="8">
        <v>0</v>
      </c>
    </row>
    <row r="96" spans="2:7" x14ac:dyDescent="0.25">
      <c r="B96" s="6" t="s">
        <v>272</v>
      </c>
      <c r="C96" s="6" t="s">
        <v>57</v>
      </c>
      <c r="D96" s="8">
        <v>4</v>
      </c>
      <c r="E96" s="6" t="s">
        <v>273</v>
      </c>
      <c r="F96" s="6" t="s">
        <v>126</v>
      </c>
      <c r="G96" s="8">
        <v>0</v>
      </c>
    </row>
    <row r="97" spans="2:7" x14ac:dyDescent="0.25">
      <c r="B97" s="6" t="s">
        <v>274</v>
      </c>
      <c r="C97" s="6" t="s">
        <v>57</v>
      </c>
      <c r="D97" s="8">
        <v>5</v>
      </c>
      <c r="E97" s="6" t="s">
        <v>275</v>
      </c>
      <c r="F97" s="6" t="s">
        <v>113</v>
      </c>
      <c r="G97" s="8">
        <v>4</v>
      </c>
    </row>
    <row r="98" spans="2:7" x14ac:dyDescent="0.25">
      <c r="B98" s="6" t="s">
        <v>276</v>
      </c>
      <c r="C98" s="6" t="s">
        <v>57</v>
      </c>
      <c r="D98" s="8">
        <v>5</v>
      </c>
      <c r="E98" s="6" t="s">
        <v>277</v>
      </c>
      <c r="F98" s="6" t="s">
        <v>113</v>
      </c>
      <c r="G98" s="8">
        <v>4</v>
      </c>
    </row>
    <row r="99" spans="2:7" x14ac:dyDescent="0.25">
      <c r="B99" s="6" t="s">
        <v>278</v>
      </c>
      <c r="C99" s="6" t="s">
        <v>57</v>
      </c>
      <c r="D99" s="8">
        <v>378</v>
      </c>
      <c r="E99" s="6" t="s">
        <v>279</v>
      </c>
      <c r="F99" s="6" t="s">
        <v>113</v>
      </c>
      <c r="G99" s="8">
        <v>376</v>
      </c>
    </row>
    <row r="100" spans="2:7" x14ac:dyDescent="0.25">
      <c r="B100" s="6" t="s">
        <v>280</v>
      </c>
      <c r="C100" s="6" t="s">
        <v>57</v>
      </c>
      <c r="D100" s="8">
        <v>3</v>
      </c>
      <c r="E100" s="6" t="s">
        <v>281</v>
      </c>
      <c r="F100" s="6" t="s">
        <v>113</v>
      </c>
      <c r="G100" s="8">
        <v>2</v>
      </c>
    </row>
    <row r="101" spans="2:7" x14ac:dyDescent="0.25">
      <c r="B101" s="6" t="s">
        <v>282</v>
      </c>
      <c r="C101" s="6" t="s">
        <v>57</v>
      </c>
      <c r="D101" s="8">
        <v>2</v>
      </c>
      <c r="E101" s="6" t="s">
        <v>283</v>
      </c>
      <c r="F101" s="6" t="s">
        <v>113</v>
      </c>
      <c r="G101" s="8">
        <v>1</v>
      </c>
    </row>
    <row r="102" spans="2:7" x14ac:dyDescent="0.25">
      <c r="B102" s="6" t="s">
        <v>284</v>
      </c>
      <c r="C102" s="6" t="s">
        <v>57</v>
      </c>
      <c r="D102" s="8">
        <v>5</v>
      </c>
      <c r="E102" s="6" t="s">
        <v>285</v>
      </c>
      <c r="F102" s="6" t="s">
        <v>113</v>
      </c>
      <c r="G102" s="8">
        <v>4</v>
      </c>
    </row>
    <row r="103" spans="2:7" x14ac:dyDescent="0.25">
      <c r="B103" s="6" t="s">
        <v>286</v>
      </c>
      <c r="C103" s="6" t="s">
        <v>57</v>
      </c>
      <c r="D103" s="8">
        <v>2</v>
      </c>
      <c r="E103" s="6" t="s">
        <v>287</v>
      </c>
      <c r="F103" s="6" t="s">
        <v>113</v>
      </c>
      <c r="G103" s="8">
        <v>1</v>
      </c>
    </row>
    <row r="104" spans="2:7" x14ac:dyDescent="0.25">
      <c r="B104" s="6" t="s">
        <v>288</v>
      </c>
      <c r="C104" s="6" t="s">
        <v>57</v>
      </c>
      <c r="D104" s="8">
        <v>3</v>
      </c>
      <c r="E104" s="6" t="s">
        <v>289</v>
      </c>
      <c r="F104" s="6" t="s">
        <v>126</v>
      </c>
      <c r="G104" s="8">
        <v>0</v>
      </c>
    </row>
    <row r="105" spans="2:7" x14ac:dyDescent="0.25">
      <c r="B105" s="6" t="s">
        <v>290</v>
      </c>
      <c r="C105" s="6" t="s">
        <v>57</v>
      </c>
      <c r="D105" s="8">
        <v>5</v>
      </c>
      <c r="E105" s="6" t="s">
        <v>291</v>
      </c>
      <c r="F105" s="6" t="s">
        <v>126</v>
      </c>
      <c r="G105" s="8">
        <v>0</v>
      </c>
    </row>
    <row r="106" spans="2:7" x14ac:dyDescent="0.25">
      <c r="B106" s="6" t="s">
        <v>292</v>
      </c>
      <c r="C106" s="6" t="s">
        <v>57</v>
      </c>
      <c r="D106" s="8">
        <v>10</v>
      </c>
      <c r="E106" s="6" t="s">
        <v>293</v>
      </c>
      <c r="F106" s="6" t="s">
        <v>113</v>
      </c>
      <c r="G106" s="8">
        <v>9</v>
      </c>
    </row>
    <row r="107" spans="2:7" x14ac:dyDescent="0.25">
      <c r="B107" s="6" t="s">
        <v>294</v>
      </c>
      <c r="C107" s="6" t="s">
        <v>57</v>
      </c>
      <c r="D107" s="8">
        <v>3</v>
      </c>
      <c r="E107" s="6" t="s">
        <v>295</v>
      </c>
      <c r="F107" s="6" t="s">
        <v>113</v>
      </c>
      <c r="G107" s="8">
        <v>2</v>
      </c>
    </row>
    <row r="108" spans="2:7" x14ac:dyDescent="0.25">
      <c r="B108" s="6" t="s">
        <v>296</v>
      </c>
      <c r="C108" s="6" t="s">
        <v>57</v>
      </c>
      <c r="D108" s="8">
        <v>5</v>
      </c>
      <c r="E108" s="6" t="s">
        <v>297</v>
      </c>
      <c r="F108" s="6" t="s">
        <v>126</v>
      </c>
      <c r="G108" s="8">
        <v>0</v>
      </c>
    </row>
    <row r="109" spans="2:7" x14ac:dyDescent="0.25">
      <c r="B109" s="6" t="s">
        <v>298</v>
      </c>
      <c r="C109" s="6" t="s">
        <v>57</v>
      </c>
      <c r="D109" s="8">
        <v>2</v>
      </c>
      <c r="E109" s="6" t="s">
        <v>299</v>
      </c>
      <c r="F109" s="6" t="s">
        <v>113</v>
      </c>
      <c r="G109" s="8">
        <v>1</v>
      </c>
    </row>
    <row r="110" spans="2:7" x14ac:dyDescent="0.25">
      <c r="B110" s="6" t="s">
        <v>300</v>
      </c>
      <c r="C110" s="6" t="s">
        <v>57</v>
      </c>
      <c r="D110" s="8">
        <v>3</v>
      </c>
      <c r="E110" s="6" t="s">
        <v>301</v>
      </c>
      <c r="F110" s="6" t="s">
        <v>113</v>
      </c>
      <c r="G110" s="8">
        <v>2</v>
      </c>
    </row>
    <row r="111" spans="2:7" x14ac:dyDescent="0.25">
      <c r="B111" s="6" t="s">
        <v>302</v>
      </c>
      <c r="C111" s="6" t="s">
        <v>57</v>
      </c>
      <c r="D111" s="8">
        <v>5</v>
      </c>
      <c r="E111" s="6" t="s">
        <v>303</v>
      </c>
      <c r="F111" s="6" t="s">
        <v>126</v>
      </c>
      <c r="G111" s="8">
        <v>0</v>
      </c>
    </row>
    <row r="112" spans="2:7" x14ac:dyDescent="0.25">
      <c r="B112" s="6" t="s">
        <v>304</v>
      </c>
      <c r="C112" s="6" t="s">
        <v>57</v>
      </c>
      <c r="D112" s="8">
        <v>5</v>
      </c>
      <c r="E112" s="6" t="s">
        <v>305</v>
      </c>
      <c r="F112" s="6" t="s">
        <v>126</v>
      </c>
      <c r="G112" s="8">
        <v>0</v>
      </c>
    </row>
    <row r="113" spans="2:7" x14ac:dyDescent="0.25">
      <c r="B113" s="6" t="s">
        <v>306</v>
      </c>
      <c r="C113" s="6" t="s">
        <v>57</v>
      </c>
      <c r="D113" s="8">
        <v>5</v>
      </c>
      <c r="E113" s="6" t="s">
        <v>307</v>
      </c>
      <c r="F113" s="6" t="s">
        <v>126</v>
      </c>
      <c r="G113" s="8">
        <v>0</v>
      </c>
    </row>
    <row r="114" spans="2:7" x14ac:dyDescent="0.25">
      <c r="B114" s="6" t="s">
        <v>308</v>
      </c>
      <c r="C114" s="6" t="s">
        <v>57</v>
      </c>
      <c r="D114" s="8">
        <v>2</v>
      </c>
      <c r="E114" s="6" t="s">
        <v>309</v>
      </c>
      <c r="F114" s="6" t="s">
        <v>113</v>
      </c>
      <c r="G114" s="8">
        <v>1</v>
      </c>
    </row>
    <row r="115" spans="2:7" x14ac:dyDescent="0.25">
      <c r="B115" s="6" t="s">
        <v>310</v>
      </c>
      <c r="C115" s="6" t="s">
        <v>57</v>
      </c>
      <c r="D115" s="8">
        <v>2</v>
      </c>
      <c r="E115" s="6" t="s">
        <v>311</v>
      </c>
      <c r="F115" s="6" t="s">
        <v>113</v>
      </c>
      <c r="G115" s="8">
        <v>1</v>
      </c>
    </row>
    <row r="116" spans="2:7" x14ac:dyDescent="0.25">
      <c r="B116" s="6" t="s">
        <v>312</v>
      </c>
      <c r="C116" s="6" t="s">
        <v>57</v>
      </c>
      <c r="D116" s="8">
        <v>50</v>
      </c>
      <c r="E116" s="6" t="s">
        <v>313</v>
      </c>
      <c r="F116" s="6" t="s">
        <v>113</v>
      </c>
      <c r="G116" s="8">
        <v>47</v>
      </c>
    </row>
    <row r="117" spans="2:7" x14ac:dyDescent="0.25">
      <c r="B117" s="6" t="s">
        <v>314</v>
      </c>
      <c r="C117" s="6" t="s">
        <v>57</v>
      </c>
      <c r="D117" s="8">
        <v>2</v>
      </c>
      <c r="E117" s="6" t="s">
        <v>315</v>
      </c>
      <c r="F117" s="6" t="s">
        <v>113</v>
      </c>
      <c r="G117" s="8">
        <v>1</v>
      </c>
    </row>
    <row r="118" spans="2:7" x14ac:dyDescent="0.25">
      <c r="B118" s="6" t="s">
        <v>316</v>
      </c>
      <c r="C118" s="6" t="s">
        <v>57</v>
      </c>
      <c r="D118" s="8">
        <v>2</v>
      </c>
      <c r="E118" s="6" t="s">
        <v>317</v>
      </c>
      <c r="F118" s="6" t="s">
        <v>113</v>
      </c>
      <c r="G118" s="8">
        <v>1</v>
      </c>
    </row>
    <row r="119" spans="2:7" x14ac:dyDescent="0.25">
      <c r="B119" s="6" t="s">
        <v>318</v>
      </c>
      <c r="C119" s="6" t="s">
        <v>57</v>
      </c>
      <c r="D119" s="8">
        <v>20</v>
      </c>
      <c r="E119" s="6" t="s">
        <v>319</v>
      </c>
      <c r="F119" s="6" t="s">
        <v>113</v>
      </c>
      <c r="G119" s="8">
        <v>17</v>
      </c>
    </row>
    <row r="120" spans="2:7" x14ac:dyDescent="0.25">
      <c r="B120" s="6" t="s">
        <v>320</v>
      </c>
      <c r="C120" s="6" t="s">
        <v>57</v>
      </c>
      <c r="D120" s="8">
        <v>10</v>
      </c>
      <c r="E120" s="6" t="s">
        <v>321</v>
      </c>
      <c r="F120" s="6" t="s">
        <v>126</v>
      </c>
      <c r="G120" s="8">
        <v>0</v>
      </c>
    </row>
    <row r="121" spans="2:7" x14ac:dyDescent="0.25">
      <c r="B121" s="6" t="s">
        <v>322</v>
      </c>
      <c r="C121" s="6" t="s">
        <v>57</v>
      </c>
      <c r="D121" s="8">
        <v>2</v>
      </c>
      <c r="E121" s="6" t="s">
        <v>323</v>
      </c>
      <c r="F121" s="6" t="s">
        <v>113</v>
      </c>
      <c r="G121" s="8">
        <v>1</v>
      </c>
    </row>
    <row r="122" spans="2:7" x14ac:dyDescent="0.25">
      <c r="B122" s="6" t="s">
        <v>324</v>
      </c>
      <c r="C122" s="6" t="s">
        <v>57</v>
      </c>
      <c r="D122" s="8">
        <v>2</v>
      </c>
      <c r="E122" s="6" t="s">
        <v>325</v>
      </c>
      <c r="F122" s="6" t="s">
        <v>113</v>
      </c>
      <c r="G122" s="8">
        <v>1</v>
      </c>
    </row>
    <row r="123" spans="2:7" x14ac:dyDescent="0.25">
      <c r="B123" s="6" t="s">
        <v>326</v>
      </c>
      <c r="C123" s="6" t="s">
        <v>57</v>
      </c>
      <c r="D123" s="8">
        <v>3</v>
      </c>
      <c r="E123" s="6" t="s">
        <v>327</v>
      </c>
      <c r="F123" s="6" t="s">
        <v>113</v>
      </c>
      <c r="G123" s="8">
        <v>1</v>
      </c>
    </row>
    <row r="124" spans="2:7" x14ac:dyDescent="0.25">
      <c r="B124" s="6" t="s">
        <v>328</v>
      </c>
      <c r="C124" s="6" t="s">
        <v>57</v>
      </c>
      <c r="D124" s="8">
        <v>4</v>
      </c>
      <c r="E124" s="6" t="s">
        <v>329</v>
      </c>
      <c r="F124" s="6" t="s">
        <v>113</v>
      </c>
      <c r="G124" s="8">
        <v>1</v>
      </c>
    </row>
    <row r="125" spans="2:7" x14ac:dyDescent="0.25">
      <c r="B125" s="6" t="s">
        <v>330</v>
      </c>
      <c r="C125" s="6" t="s">
        <v>57</v>
      </c>
      <c r="D125" s="8">
        <v>1</v>
      </c>
      <c r="E125" s="6" t="s">
        <v>331</v>
      </c>
      <c r="F125" s="6" t="s">
        <v>113</v>
      </c>
      <c r="G125" s="6">
        <v>1</v>
      </c>
    </row>
    <row r="126" spans="2:7" x14ac:dyDescent="0.25">
      <c r="B126" s="6" t="s">
        <v>332</v>
      </c>
      <c r="C126" s="6" t="s">
        <v>57</v>
      </c>
      <c r="D126" s="8">
        <v>1</v>
      </c>
      <c r="E126" s="6" t="s">
        <v>333</v>
      </c>
      <c r="F126" s="6" t="s">
        <v>113</v>
      </c>
      <c r="G126" s="6">
        <v>1</v>
      </c>
    </row>
    <row r="127" spans="2:7" x14ac:dyDescent="0.25">
      <c r="B127" s="6" t="s">
        <v>334</v>
      </c>
      <c r="C127" s="6" t="s">
        <v>57</v>
      </c>
      <c r="D127" s="8">
        <v>2</v>
      </c>
      <c r="E127" s="6" t="s">
        <v>335</v>
      </c>
      <c r="F127" s="6" t="s">
        <v>126</v>
      </c>
      <c r="G127" s="6">
        <v>0</v>
      </c>
    </row>
    <row r="128" spans="2:7" x14ac:dyDescent="0.25">
      <c r="B128" s="6" t="s">
        <v>336</v>
      </c>
      <c r="C128" s="6" t="s">
        <v>57</v>
      </c>
      <c r="D128" s="8">
        <v>2</v>
      </c>
      <c r="E128" s="6" t="s">
        <v>337</v>
      </c>
      <c r="F128" s="6" t="s">
        <v>126</v>
      </c>
      <c r="G128" s="6">
        <v>0</v>
      </c>
    </row>
    <row r="129" spans="2:7" x14ac:dyDescent="0.25">
      <c r="B129" s="6" t="s">
        <v>338</v>
      </c>
      <c r="C129" s="6" t="s">
        <v>57</v>
      </c>
      <c r="D129" s="8">
        <v>2</v>
      </c>
      <c r="E129" s="6" t="s">
        <v>339</v>
      </c>
      <c r="F129" s="6" t="s">
        <v>113</v>
      </c>
      <c r="G129" s="6">
        <v>1</v>
      </c>
    </row>
    <row r="130" spans="2:7" x14ac:dyDescent="0.25">
      <c r="B130" s="6" t="s">
        <v>340</v>
      </c>
      <c r="C130" s="6" t="s">
        <v>57</v>
      </c>
      <c r="D130" s="8">
        <v>2</v>
      </c>
      <c r="E130" s="6" t="s">
        <v>341</v>
      </c>
      <c r="F130" s="6" t="s">
        <v>113</v>
      </c>
      <c r="G130" s="6">
        <v>8</v>
      </c>
    </row>
    <row r="131" spans="2:7" x14ac:dyDescent="0.25">
      <c r="B131" s="6" t="s">
        <v>342</v>
      </c>
      <c r="C131" s="6" t="s">
        <v>57</v>
      </c>
      <c r="D131" s="8">
        <v>5</v>
      </c>
      <c r="E131" s="6" t="s">
        <v>343</v>
      </c>
      <c r="F131" s="6" t="s">
        <v>113</v>
      </c>
      <c r="G131" s="6">
        <v>5</v>
      </c>
    </row>
    <row r="132" spans="2:7" x14ac:dyDescent="0.25">
      <c r="B132" s="6" t="s">
        <v>344</v>
      </c>
      <c r="C132" s="6" t="s">
        <v>57</v>
      </c>
      <c r="D132" s="8">
        <v>4</v>
      </c>
      <c r="E132" s="6" t="s">
        <v>345</v>
      </c>
      <c r="F132" s="6" t="s">
        <v>113</v>
      </c>
      <c r="G132" s="6">
        <v>6</v>
      </c>
    </row>
    <row r="133" spans="2:7" x14ac:dyDescent="0.25">
      <c r="B133" s="6" t="s">
        <v>346</v>
      </c>
      <c r="C133" s="6" t="s">
        <v>57</v>
      </c>
      <c r="D133" s="8">
        <v>5</v>
      </c>
      <c r="E133" s="6" t="s">
        <v>347</v>
      </c>
      <c r="F133" s="6" t="s">
        <v>126</v>
      </c>
      <c r="G133" s="6">
        <v>0</v>
      </c>
    </row>
    <row r="134" spans="2:7" x14ac:dyDescent="0.25">
      <c r="B134" s="6" t="s">
        <v>348</v>
      </c>
      <c r="C134" s="6" t="s">
        <v>57</v>
      </c>
      <c r="D134" s="8">
        <v>5</v>
      </c>
      <c r="E134" s="6" t="s">
        <v>349</v>
      </c>
      <c r="F134" s="6" t="s">
        <v>126</v>
      </c>
      <c r="G134" s="6">
        <v>0</v>
      </c>
    </row>
    <row r="135" spans="2:7" x14ac:dyDescent="0.25">
      <c r="B135" s="6" t="s">
        <v>350</v>
      </c>
      <c r="C135" s="6" t="s">
        <v>57</v>
      </c>
      <c r="D135" s="8">
        <v>3</v>
      </c>
      <c r="E135" s="6" t="s">
        <v>351</v>
      </c>
      <c r="F135" s="6" t="s">
        <v>126</v>
      </c>
      <c r="G135" s="6">
        <v>0</v>
      </c>
    </row>
    <row r="136" spans="2:7" x14ac:dyDescent="0.25">
      <c r="B136" s="6" t="s">
        <v>352</v>
      </c>
      <c r="C136" s="6" t="s">
        <v>57</v>
      </c>
      <c r="D136" s="8">
        <v>2</v>
      </c>
      <c r="E136" s="6" t="s">
        <v>353</v>
      </c>
      <c r="F136" s="6" t="s">
        <v>126</v>
      </c>
      <c r="G136" s="6">
        <v>0</v>
      </c>
    </row>
    <row r="137" spans="2:7" x14ac:dyDescent="0.25">
      <c r="B137" s="6" t="s">
        <v>354</v>
      </c>
      <c r="C137" s="6" t="s">
        <v>57</v>
      </c>
      <c r="D137" s="8">
        <v>5</v>
      </c>
      <c r="E137" s="6" t="s">
        <v>355</v>
      </c>
      <c r="F137" s="6" t="s">
        <v>126</v>
      </c>
      <c r="G137" s="6">
        <v>0</v>
      </c>
    </row>
    <row r="138" spans="2:7" x14ac:dyDescent="0.25">
      <c r="B138" s="6" t="s">
        <v>356</v>
      </c>
      <c r="C138" s="6" t="s">
        <v>57</v>
      </c>
      <c r="D138" s="8">
        <v>2</v>
      </c>
      <c r="E138" s="6" t="s">
        <v>357</v>
      </c>
      <c r="F138" s="6" t="s">
        <v>126</v>
      </c>
      <c r="G138" s="6">
        <v>0</v>
      </c>
    </row>
    <row r="139" spans="2:7" x14ac:dyDescent="0.25">
      <c r="B139" s="6" t="s">
        <v>358</v>
      </c>
      <c r="C139" s="6" t="s">
        <v>57</v>
      </c>
      <c r="D139" s="8">
        <v>3</v>
      </c>
      <c r="E139" s="6" t="s">
        <v>359</v>
      </c>
      <c r="F139" s="6" t="s">
        <v>126</v>
      </c>
      <c r="G139" s="6">
        <v>0</v>
      </c>
    </row>
    <row r="140" spans="2:7" x14ac:dyDescent="0.25">
      <c r="B140" s="6" t="s">
        <v>360</v>
      </c>
      <c r="C140" s="6" t="s">
        <v>57</v>
      </c>
      <c r="D140" s="8">
        <v>10</v>
      </c>
      <c r="E140" s="6" t="s">
        <v>361</v>
      </c>
      <c r="F140" s="6" t="s">
        <v>126</v>
      </c>
      <c r="G140" s="6">
        <v>0</v>
      </c>
    </row>
    <row r="141" spans="2:7" x14ac:dyDescent="0.25">
      <c r="B141" s="6" t="s">
        <v>362</v>
      </c>
      <c r="C141" s="6" t="s">
        <v>57</v>
      </c>
      <c r="D141" s="8">
        <v>2</v>
      </c>
      <c r="E141" s="6" t="s">
        <v>363</v>
      </c>
      <c r="F141" s="6" t="s">
        <v>126</v>
      </c>
      <c r="G141" s="6">
        <v>0</v>
      </c>
    </row>
    <row r="142" spans="2:7" x14ac:dyDescent="0.25">
      <c r="B142" s="6" t="s">
        <v>364</v>
      </c>
      <c r="C142" s="6" t="s">
        <v>57</v>
      </c>
      <c r="D142" s="8">
        <v>2</v>
      </c>
      <c r="E142" s="6" t="s">
        <v>365</v>
      </c>
      <c r="F142" s="6" t="s">
        <v>126</v>
      </c>
      <c r="G142" s="6">
        <v>0</v>
      </c>
    </row>
    <row r="143" spans="2:7" x14ac:dyDescent="0.25">
      <c r="B143" s="6" t="s">
        <v>366</v>
      </c>
      <c r="C143" s="6" t="s">
        <v>57</v>
      </c>
      <c r="D143" s="8">
        <v>2</v>
      </c>
      <c r="E143" s="6" t="s">
        <v>367</v>
      </c>
      <c r="F143" s="6" t="s">
        <v>126</v>
      </c>
      <c r="G143" s="6">
        <v>0</v>
      </c>
    </row>
    <row r="144" spans="2:7" x14ac:dyDescent="0.25">
      <c r="B144" s="6" t="s">
        <v>368</v>
      </c>
      <c r="C144" s="6" t="s">
        <v>57</v>
      </c>
      <c r="D144" s="8">
        <v>2</v>
      </c>
      <c r="E144" s="6" t="s">
        <v>369</v>
      </c>
      <c r="F144" s="6" t="s">
        <v>126</v>
      </c>
      <c r="G144" s="6">
        <v>0</v>
      </c>
    </row>
    <row r="145" spans="2:7" x14ac:dyDescent="0.25">
      <c r="B145" s="6" t="s">
        <v>370</v>
      </c>
      <c r="C145" s="6" t="s">
        <v>57</v>
      </c>
      <c r="D145" s="8">
        <v>3</v>
      </c>
      <c r="E145" s="6" t="s">
        <v>371</v>
      </c>
      <c r="F145" s="6" t="s">
        <v>126</v>
      </c>
      <c r="G145" s="6">
        <v>0</v>
      </c>
    </row>
    <row r="146" spans="2:7" x14ac:dyDescent="0.25">
      <c r="B146" s="6" t="s">
        <v>372</v>
      </c>
      <c r="C146" s="6" t="s">
        <v>57</v>
      </c>
      <c r="D146" s="8">
        <v>2</v>
      </c>
      <c r="E146" s="6" t="s">
        <v>373</v>
      </c>
      <c r="F146" s="6" t="s">
        <v>126</v>
      </c>
      <c r="G146" s="6">
        <v>0</v>
      </c>
    </row>
    <row r="147" spans="2:7" x14ac:dyDescent="0.25">
      <c r="B147" s="6" t="s">
        <v>374</v>
      </c>
      <c r="C147" s="6" t="s">
        <v>57</v>
      </c>
      <c r="D147" s="8">
        <v>10</v>
      </c>
      <c r="E147" s="6" t="s">
        <v>375</v>
      </c>
      <c r="F147" s="6" t="s">
        <v>113</v>
      </c>
      <c r="G147" s="6">
        <v>10</v>
      </c>
    </row>
    <row r="148" spans="2:7" x14ac:dyDescent="0.25">
      <c r="B148" s="6" t="s">
        <v>376</v>
      </c>
      <c r="C148" s="6" t="s">
        <v>57</v>
      </c>
      <c r="D148" s="8">
        <v>2</v>
      </c>
      <c r="E148" s="6" t="s">
        <v>377</v>
      </c>
      <c r="F148" s="6" t="s">
        <v>126</v>
      </c>
      <c r="G148" s="6">
        <v>0</v>
      </c>
    </row>
    <row r="149" spans="2:7" x14ac:dyDescent="0.25">
      <c r="B149" s="6" t="s">
        <v>378</v>
      </c>
      <c r="C149" s="6" t="s">
        <v>57</v>
      </c>
      <c r="D149" s="8">
        <v>2</v>
      </c>
      <c r="E149" s="6" t="s">
        <v>379</v>
      </c>
      <c r="F149" s="6" t="s">
        <v>126</v>
      </c>
      <c r="G149" s="6">
        <v>0</v>
      </c>
    </row>
    <row r="150" spans="2:7" x14ac:dyDescent="0.25">
      <c r="B150" s="6" t="s">
        <v>380</v>
      </c>
      <c r="C150" s="6" t="s">
        <v>57</v>
      </c>
      <c r="D150" s="8">
        <v>3</v>
      </c>
      <c r="E150" s="6" t="s">
        <v>381</v>
      </c>
      <c r="F150" s="6" t="s">
        <v>126</v>
      </c>
      <c r="G150" s="6">
        <v>0</v>
      </c>
    </row>
    <row r="151" spans="2:7" x14ac:dyDescent="0.25">
      <c r="B151" s="6" t="s">
        <v>382</v>
      </c>
      <c r="C151" s="6" t="s">
        <v>57</v>
      </c>
      <c r="D151" s="8">
        <v>4</v>
      </c>
      <c r="E151" s="6" t="s">
        <v>383</v>
      </c>
      <c r="F151" s="6" t="s">
        <v>126</v>
      </c>
      <c r="G151" s="6">
        <v>0</v>
      </c>
    </row>
    <row r="152" spans="2:7" x14ac:dyDescent="0.25">
      <c r="B152" s="6" t="s">
        <v>384</v>
      </c>
      <c r="C152" s="6" t="s">
        <v>57</v>
      </c>
      <c r="D152" s="8">
        <v>20</v>
      </c>
      <c r="E152" s="6" t="s">
        <v>385</v>
      </c>
      <c r="F152" s="6" t="s">
        <v>126</v>
      </c>
      <c r="G152" s="6">
        <v>0</v>
      </c>
    </row>
    <row r="153" spans="2:7" x14ac:dyDescent="0.25">
      <c r="B153" s="6" t="s">
        <v>390</v>
      </c>
      <c r="C153" s="6" t="s">
        <v>57</v>
      </c>
      <c r="D153" s="8">
        <v>50</v>
      </c>
      <c r="E153" s="6" t="s">
        <v>391</v>
      </c>
      <c r="F153" s="6" t="s">
        <v>126</v>
      </c>
      <c r="G153" s="6">
        <v>0</v>
      </c>
    </row>
    <row r="154" spans="2:7" x14ac:dyDescent="0.25">
      <c r="B154" s="6" t="s">
        <v>396</v>
      </c>
      <c r="C154" s="6" t="s">
        <v>57</v>
      </c>
      <c r="D154" s="8">
        <v>74.999800000000008</v>
      </c>
      <c r="E154" s="6" t="s">
        <v>397</v>
      </c>
      <c r="F154" s="6" t="s">
        <v>113</v>
      </c>
      <c r="G154" s="6">
        <v>1.9999999999242846E-4</v>
      </c>
    </row>
    <row r="155" spans="2:7" ht="15.75" thickBot="1" x14ac:dyDescent="0.3">
      <c r="B155" s="4" t="s">
        <v>386</v>
      </c>
      <c r="C155" s="4"/>
      <c r="D155" s="4"/>
      <c r="E155" s="4"/>
      <c r="F155" s="4"/>
      <c r="G15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90"/>
  <sheetViews>
    <sheetView workbookViewId="0">
      <pane ySplit="10" topLeftCell="A78" activePane="bottomLeft" state="frozen"/>
      <selection activeCell="Q1" sqref="Q1"/>
      <selection pane="bottomLeft" activeCell="BA90" sqref="BA90"/>
    </sheetView>
  </sheetViews>
  <sheetFormatPr defaultRowHeight="15" x14ac:dyDescent="0.25"/>
  <sheetData>
    <row r="1" spans="1:53" x14ac:dyDescent="0.25">
      <c r="A1" t="s">
        <v>200</v>
      </c>
    </row>
    <row r="2" spans="1:53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</row>
    <row r="3" spans="1:53" x14ac:dyDescent="0.25">
      <c r="A3" s="1">
        <v>55</v>
      </c>
      <c r="B3" s="1">
        <v>20</v>
      </c>
      <c r="C3" s="1">
        <v>20</v>
      </c>
      <c r="D3" s="1">
        <v>10</v>
      </c>
      <c r="E3" s="1">
        <v>1</v>
      </c>
      <c r="F3" s="1">
        <v>10</v>
      </c>
      <c r="G3" s="1">
        <v>10</v>
      </c>
      <c r="H3" s="1">
        <v>10</v>
      </c>
      <c r="I3" s="1">
        <v>10</v>
      </c>
      <c r="J3" s="1">
        <v>1</v>
      </c>
      <c r="K3" s="1">
        <v>10</v>
      </c>
      <c r="L3" s="1">
        <v>3</v>
      </c>
      <c r="M3" s="1">
        <v>5</v>
      </c>
      <c r="N3" s="1">
        <v>2</v>
      </c>
      <c r="O3" s="1">
        <v>2</v>
      </c>
      <c r="P3" s="1">
        <v>2</v>
      </c>
      <c r="Q3" s="1">
        <v>20</v>
      </c>
      <c r="R3" s="1">
        <v>2</v>
      </c>
      <c r="S3" s="1">
        <v>5</v>
      </c>
      <c r="T3" s="1">
        <v>6</v>
      </c>
      <c r="U3" s="1">
        <v>2</v>
      </c>
      <c r="V3" s="1">
        <v>4</v>
      </c>
      <c r="W3" s="1">
        <v>5</v>
      </c>
      <c r="X3" s="1">
        <v>5</v>
      </c>
      <c r="Y3" s="1">
        <v>378</v>
      </c>
      <c r="Z3" s="1">
        <v>3</v>
      </c>
      <c r="AA3" s="1">
        <v>2</v>
      </c>
      <c r="AB3" s="1">
        <v>5</v>
      </c>
      <c r="AC3" s="1">
        <v>2</v>
      </c>
      <c r="AD3" s="1">
        <v>3</v>
      </c>
      <c r="AE3" s="1">
        <v>5</v>
      </c>
      <c r="AF3" s="1">
        <v>10</v>
      </c>
      <c r="AG3" s="1">
        <v>3</v>
      </c>
      <c r="AH3" s="1">
        <v>5</v>
      </c>
      <c r="AI3" s="1">
        <v>2</v>
      </c>
      <c r="AJ3" s="1">
        <v>3</v>
      </c>
      <c r="AK3" s="1">
        <v>5</v>
      </c>
      <c r="AL3" s="1">
        <v>5</v>
      </c>
      <c r="AM3" s="1">
        <v>5</v>
      </c>
      <c r="AN3" s="1">
        <v>2</v>
      </c>
      <c r="AO3" s="1">
        <v>2</v>
      </c>
      <c r="AP3" s="1">
        <v>50</v>
      </c>
      <c r="AQ3" s="1">
        <v>2</v>
      </c>
      <c r="AR3" s="1">
        <v>2</v>
      </c>
      <c r="AS3" s="1">
        <v>20</v>
      </c>
      <c r="AT3" s="1">
        <v>10</v>
      </c>
      <c r="AU3" s="1">
        <v>2</v>
      </c>
      <c r="AV3" s="1">
        <v>2</v>
      </c>
      <c r="AW3" s="1">
        <v>3</v>
      </c>
      <c r="AX3" s="1">
        <v>4</v>
      </c>
    </row>
    <row r="5" spans="1:53" x14ac:dyDescent="0.25">
      <c r="A5" t="s">
        <v>201</v>
      </c>
    </row>
    <row r="6" spans="1:53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  <c r="AX6" s="1" t="s">
        <v>49</v>
      </c>
      <c r="AY6" s="2" t="s">
        <v>57</v>
      </c>
    </row>
    <row r="7" spans="1:53" x14ac:dyDescent="0.25">
      <c r="A7" s="1">
        <f>0.05*0.05</f>
        <v>2.5000000000000005E-3</v>
      </c>
      <c r="B7" s="1">
        <f>0.05*0.05</f>
        <v>2.5000000000000005E-3</v>
      </c>
      <c r="C7" s="1">
        <f>0.05*0.05</f>
        <v>2.5000000000000005E-3</v>
      </c>
      <c r="D7" s="1">
        <f>0.05*0.05</f>
        <v>2.5000000000000005E-3</v>
      </c>
      <c r="E7" s="1">
        <f>0.15*0.15</f>
        <v>2.2499999999999999E-2</v>
      </c>
      <c r="F7" s="1">
        <f>0.08*0.08</f>
        <v>6.4000000000000003E-3</v>
      </c>
      <c r="G7" s="1">
        <f>0.08*0.08</f>
        <v>6.4000000000000003E-3</v>
      </c>
      <c r="H7" s="1">
        <f>0.1*0.1</f>
        <v>1.0000000000000002E-2</v>
      </c>
      <c r="I7" s="1">
        <f>0.1*0.1</f>
        <v>1.0000000000000002E-2</v>
      </c>
      <c r="J7" s="1">
        <f>0.25*0.25</f>
        <v>6.25E-2</v>
      </c>
      <c r="K7" s="1">
        <f>0.1*0.1</f>
        <v>1.0000000000000002E-2</v>
      </c>
      <c r="L7" s="1">
        <f>0.2*0.2</f>
        <v>4.0000000000000008E-2</v>
      </c>
      <c r="M7" s="1">
        <f>0.15*0.15</f>
        <v>2.2499999999999999E-2</v>
      </c>
      <c r="N7" s="1">
        <f>0.4*0.4</f>
        <v>0.16000000000000003</v>
      </c>
      <c r="O7" s="1">
        <f>0.4*0.4</f>
        <v>0.16000000000000003</v>
      </c>
      <c r="P7" s="1">
        <f>0.22*0.22</f>
        <v>4.8399999999999999E-2</v>
      </c>
      <c r="Q7" s="1">
        <f>0.1*0.1</f>
        <v>1.0000000000000002E-2</v>
      </c>
      <c r="R7" s="1">
        <f>0.3*0.3</f>
        <v>0.09</v>
      </c>
      <c r="S7" s="1">
        <f>0.3*0.15</f>
        <v>4.4999999999999998E-2</v>
      </c>
      <c r="T7" s="1">
        <f>0.2*0.2</f>
        <v>4.0000000000000008E-2</v>
      </c>
      <c r="U7" s="1">
        <f>0.25*0.25</f>
        <v>6.25E-2</v>
      </c>
      <c r="V7" s="1">
        <f>0.3*0.15</f>
        <v>4.4999999999999998E-2</v>
      </c>
      <c r="W7" s="1">
        <f>0.6*0.6</f>
        <v>0.36</v>
      </c>
      <c r="X7" s="1">
        <v>0.36</v>
      </c>
      <c r="Y7" s="1">
        <f>0.3*0.3</f>
        <v>0.09</v>
      </c>
      <c r="Z7" s="1">
        <f>0.5*0.5</f>
        <v>0.25</v>
      </c>
      <c r="AA7" s="1">
        <f>0.45*0.45</f>
        <v>0.20250000000000001</v>
      </c>
      <c r="AB7" s="1">
        <v>0.36</v>
      </c>
      <c r="AC7" s="1">
        <f>0.6*0.6</f>
        <v>0.36</v>
      </c>
      <c r="AD7" s="1">
        <f>0.3*0.3</f>
        <v>0.09</v>
      </c>
      <c r="AE7" s="1">
        <f>0.15*0.3</f>
        <v>4.4999999999999998E-2</v>
      </c>
      <c r="AF7" s="1">
        <f>0.6*0.6</f>
        <v>0.36</v>
      </c>
      <c r="AG7" s="1">
        <f>0.5*0.5</f>
        <v>0.25</v>
      </c>
      <c r="AH7" s="1">
        <f>0.2*0.2</f>
        <v>4.0000000000000008E-2</v>
      </c>
      <c r="AI7" s="1">
        <f>0.6*0.6</f>
        <v>0.36</v>
      </c>
      <c r="AJ7" s="1">
        <f>0.6*0.6</f>
        <v>0.36</v>
      </c>
      <c r="AK7" s="1">
        <f>0.25*0.25</f>
        <v>6.25E-2</v>
      </c>
      <c r="AL7" s="1">
        <f>0.25*0.25</f>
        <v>6.25E-2</v>
      </c>
      <c r="AM7" s="1">
        <f>0.3*0.3</f>
        <v>0.09</v>
      </c>
      <c r="AN7" s="1">
        <f>0.6*0.6</f>
        <v>0.36</v>
      </c>
      <c r="AO7" s="1">
        <f>0.75*0.75</f>
        <v>0.5625</v>
      </c>
      <c r="AP7" s="1">
        <f>0.38*0.38</f>
        <v>0.1444</v>
      </c>
      <c r="AQ7" s="1">
        <f>0.75*0.75</f>
        <v>0.5625</v>
      </c>
      <c r="AR7" s="1">
        <f>0.6*0.6</f>
        <v>0.36</v>
      </c>
      <c r="AS7" s="1">
        <f>0.5*0.5</f>
        <v>0.25</v>
      </c>
      <c r="AT7" s="1">
        <f>0.3*0.3</f>
        <v>0.09</v>
      </c>
      <c r="AU7" s="1">
        <v>1</v>
      </c>
      <c r="AV7" s="1">
        <v>1</v>
      </c>
      <c r="AW7" s="1">
        <f>0.6*0.6</f>
        <v>0.36</v>
      </c>
      <c r="AX7" s="1">
        <f>0.5*0.5</f>
        <v>0.25</v>
      </c>
      <c r="AY7" s="1">
        <f>SUMPRODUCT($A$3:$AX$3,A7:AX7)</f>
        <v>74.999800000000008</v>
      </c>
    </row>
    <row r="9" spans="1:53" x14ac:dyDescent="0.25">
      <c r="A9" t="s">
        <v>51</v>
      </c>
    </row>
    <row r="10" spans="1:53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  <c r="Y10" s="1" t="s">
        <v>24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30</v>
      </c>
      <c r="AF10" s="1" t="s">
        <v>31</v>
      </c>
      <c r="AG10" s="1" t="s">
        <v>32</v>
      </c>
      <c r="AH10" s="1" t="s">
        <v>33</v>
      </c>
      <c r="AI10" s="1" t="s">
        <v>34</v>
      </c>
      <c r="AJ10" s="1" t="s">
        <v>35</v>
      </c>
      <c r="AK10" s="1" t="s">
        <v>36</v>
      </c>
      <c r="AL10" s="1" t="s">
        <v>37</v>
      </c>
      <c r="AM10" s="1" t="s">
        <v>38</v>
      </c>
      <c r="AN10" s="1" t="s">
        <v>39</v>
      </c>
      <c r="AO10" s="1" t="s">
        <v>40</v>
      </c>
      <c r="AP10" s="1" t="s">
        <v>41</v>
      </c>
      <c r="AQ10" s="1" t="s">
        <v>42</v>
      </c>
      <c r="AR10" s="1" t="s">
        <v>43</v>
      </c>
      <c r="AS10" s="1" t="s">
        <v>44</v>
      </c>
      <c r="AT10" s="1" t="s">
        <v>45</v>
      </c>
      <c r="AU10" s="1" t="s">
        <v>46</v>
      </c>
      <c r="AV10" s="1" t="s">
        <v>47</v>
      </c>
      <c r="AW10" s="1" t="s">
        <v>48</v>
      </c>
      <c r="AX10" s="1" t="s">
        <v>49</v>
      </c>
      <c r="AY10" s="1" t="s">
        <v>57</v>
      </c>
      <c r="AZ10" s="1"/>
      <c r="BA10" s="1" t="s">
        <v>202</v>
      </c>
    </row>
    <row r="11" spans="1:53" x14ac:dyDescent="0.25">
      <c r="A11" s="1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>
        <f>SUMPRODUCT($A$3:$AX$3,A11:AX11)</f>
        <v>55</v>
      </c>
      <c r="AZ11" s="1" t="s">
        <v>55</v>
      </c>
      <c r="BA11" s="1">
        <v>20</v>
      </c>
    </row>
    <row r="12" spans="1:53" x14ac:dyDescent="0.25">
      <c r="A12" s="1"/>
      <c r="B12" s="1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>
        <f t="shared" ref="AY12:AY75" si="0">SUMPRODUCT($A$3:$AX$3,A12:AX12)</f>
        <v>20</v>
      </c>
      <c r="AZ12" s="1" t="s">
        <v>55</v>
      </c>
      <c r="BA12" s="1">
        <v>20</v>
      </c>
    </row>
    <row r="13" spans="1:53" x14ac:dyDescent="0.25">
      <c r="A13" s="1"/>
      <c r="B13" s="1"/>
      <c r="C13" s="1">
        <v>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>
        <f t="shared" si="0"/>
        <v>20</v>
      </c>
      <c r="AZ13" s="1" t="s">
        <v>55</v>
      </c>
      <c r="BA13" s="1">
        <v>20</v>
      </c>
    </row>
    <row r="14" spans="1:53" x14ac:dyDescent="0.25">
      <c r="A14" s="1"/>
      <c r="B14" s="1"/>
      <c r="C14" s="1"/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>
        <f t="shared" si="0"/>
        <v>10</v>
      </c>
      <c r="AZ14" s="1" t="s">
        <v>55</v>
      </c>
      <c r="BA14" s="1">
        <v>10</v>
      </c>
    </row>
    <row r="15" spans="1:53" x14ac:dyDescent="0.25">
      <c r="A15" s="1"/>
      <c r="B15" s="1"/>
      <c r="C15" s="1"/>
      <c r="D15" s="1"/>
      <c r="E15" s="1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>
        <f t="shared" si="0"/>
        <v>1</v>
      </c>
      <c r="AZ15" s="1" t="s">
        <v>55</v>
      </c>
      <c r="BA15" s="1">
        <v>1</v>
      </c>
    </row>
    <row r="16" spans="1:53" x14ac:dyDescent="0.25">
      <c r="A16" s="1"/>
      <c r="B16" s="1"/>
      <c r="C16" s="1"/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>
        <f t="shared" si="0"/>
        <v>10</v>
      </c>
      <c r="AZ16" s="1" t="s">
        <v>55</v>
      </c>
      <c r="BA16" s="1">
        <v>10</v>
      </c>
    </row>
    <row r="17" spans="1:53" x14ac:dyDescent="0.25">
      <c r="A17" s="1"/>
      <c r="B17" s="1"/>
      <c r="C17" s="1"/>
      <c r="D17" s="1"/>
      <c r="E17" s="1"/>
      <c r="F17" s="1"/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>
        <f t="shared" si="0"/>
        <v>10</v>
      </c>
      <c r="AZ17" s="1" t="s">
        <v>55</v>
      </c>
      <c r="BA17" s="1">
        <v>10</v>
      </c>
    </row>
    <row r="18" spans="1:53" x14ac:dyDescent="0.25">
      <c r="A18" s="1"/>
      <c r="B18" s="1"/>
      <c r="C18" s="1"/>
      <c r="D18" s="1"/>
      <c r="E18" s="1"/>
      <c r="F18" s="1"/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>
        <f t="shared" si="0"/>
        <v>10</v>
      </c>
      <c r="AZ18" s="1" t="s">
        <v>55</v>
      </c>
      <c r="BA18" s="1">
        <v>10</v>
      </c>
    </row>
    <row r="19" spans="1:53" x14ac:dyDescent="0.25">
      <c r="A19" s="1"/>
      <c r="B19" s="1"/>
      <c r="C19" s="1"/>
      <c r="D19" s="1"/>
      <c r="E19" s="1"/>
      <c r="F19" s="1"/>
      <c r="G19" s="1"/>
      <c r="H19" s="1"/>
      <c r="I19" s="1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>
        <f t="shared" si="0"/>
        <v>10</v>
      </c>
      <c r="AZ19" s="1" t="s">
        <v>55</v>
      </c>
      <c r="BA19" s="1">
        <v>10</v>
      </c>
    </row>
    <row r="20" spans="1:53" x14ac:dyDescent="0.25">
      <c r="A20" s="1"/>
      <c r="B20" s="1"/>
      <c r="C20" s="1"/>
      <c r="D20" s="1"/>
      <c r="E20" s="1"/>
      <c r="F20" s="1"/>
      <c r="G20" s="1"/>
      <c r="H20" s="1"/>
      <c r="I20" s="1"/>
      <c r="J20" s="1"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>
        <f t="shared" si="0"/>
        <v>1</v>
      </c>
      <c r="AZ20" s="1" t="s">
        <v>55</v>
      </c>
      <c r="BA20" s="1">
        <v>1</v>
      </c>
    </row>
    <row r="21" spans="1:5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>
        <f t="shared" si="0"/>
        <v>10</v>
      </c>
      <c r="AZ21" s="1" t="s">
        <v>55</v>
      </c>
      <c r="BA21" s="1">
        <v>10</v>
      </c>
    </row>
    <row r="22" spans="1:5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>
        <f t="shared" si="0"/>
        <v>3</v>
      </c>
      <c r="AZ22" s="1" t="s">
        <v>55</v>
      </c>
      <c r="BA22" s="1">
        <v>3</v>
      </c>
    </row>
    <row r="23" spans="1:5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>
        <f t="shared" si="0"/>
        <v>5</v>
      </c>
      <c r="AZ23" s="1" t="s">
        <v>55</v>
      </c>
      <c r="BA23" s="1">
        <v>5</v>
      </c>
    </row>
    <row r="24" spans="1:5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>
        <f t="shared" si="0"/>
        <v>2</v>
      </c>
      <c r="AZ24" s="1" t="s">
        <v>55</v>
      </c>
      <c r="BA24" s="1">
        <v>1</v>
      </c>
    </row>
    <row r="25" spans="1:5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>
        <f t="shared" si="0"/>
        <v>2</v>
      </c>
      <c r="AZ25" s="1" t="s">
        <v>55</v>
      </c>
      <c r="BA25" s="1">
        <v>1</v>
      </c>
    </row>
    <row r="26" spans="1:5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>
        <f t="shared" si="0"/>
        <v>2</v>
      </c>
      <c r="AZ26" s="1" t="s">
        <v>55</v>
      </c>
      <c r="BA26" s="1">
        <v>2</v>
      </c>
    </row>
    <row r="27" spans="1:5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>
        <f t="shared" si="0"/>
        <v>20</v>
      </c>
      <c r="AZ27" s="1" t="s">
        <v>55</v>
      </c>
      <c r="BA27" s="1">
        <v>20</v>
      </c>
    </row>
    <row r="28" spans="1:5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>
        <f t="shared" si="0"/>
        <v>2</v>
      </c>
      <c r="AZ28" s="1" t="s">
        <v>55</v>
      </c>
      <c r="BA28" s="1">
        <v>2</v>
      </c>
    </row>
    <row r="29" spans="1:5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>
        <f t="shared" si="0"/>
        <v>5</v>
      </c>
      <c r="AZ29" s="1" t="s">
        <v>55</v>
      </c>
      <c r="BA29" s="1">
        <v>5</v>
      </c>
    </row>
    <row r="30" spans="1:5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>
        <f t="shared" si="0"/>
        <v>6</v>
      </c>
      <c r="AZ30" s="1" t="s">
        <v>55</v>
      </c>
      <c r="BA30" s="1">
        <v>6</v>
      </c>
    </row>
    <row r="31" spans="1:5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>
        <f t="shared" si="0"/>
        <v>2</v>
      </c>
      <c r="AZ31" s="1" t="s">
        <v>55</v>
      </c>
      <c r="BA31" s="1">
        <v>2</v>
      </c>
    </row>
    <row r="32" spans="1:5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1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>
        <f t="shared" si="0"/>
        <v>4</v>
      </c>
      <c r="AZ32" s="1" t="s">
        <v>55</v>
      </c>
      <c r="BA32" s="1">
        <v>4</v>
      </c>
    </row>
    <row r="33" spans="1:5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>
        <f t="shared" si="0"/>
        <v>5</v>
      </c>
      <c r="AZ33" s="1" t="s">
        <v>55</v>
      </c>
      <c r="BA33" s="1">
        <v>1</v>
      </c>
    </row>
    <row r="34" spans="1:5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>
        <f t="shared" si="0"/>
        <v>5</v>
      </c>
      <c r="AZ34" s="1" t="s">
        <v>55</v>
      </c>
      <c r="BA34" s="1">
        <v>1</v>
      </c>
    </row>
    <row r="35" spans="1:5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>
        <f t="shared" si="0"/>
        <v>378</v>
      </c>
      <c r="AZ35" s="1" t="s">
        <v>55</v>
      </c>
      <c r="BA35" s="1">
        <v>2</v>
      </c>
    </row>
    <row r="36" spans="1:5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1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>
        <f t="shared" si="0"/>
        <v>3</v>
      </c>
      <c r="AZ36" s="1" t="s">
        <v>55</v>
      </c>
      <c r="BA36" s="1">
        <v>1</v>
      </c>
    </row>
    <row r="37" spans="1:5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v>1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>
        <f t="shared" si="0"/>
        <v>2</v>
      </c>
      <c r="AZ37" s="1" t="s">
        <v>55</v>
      </c>
      <c r="BA37" s="1">
        <v>1</v>
      </c>
    </row>
    <row r="38" spans="1:5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>
        <v>1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>
        <f t="shared" si="0"/>
        <v>5</v>
      </c>
      <c r="AZ38" s="1" t="s">
        <v>55</v>
      </c>
      <c r="BA38" s="1">
        <v>1</v>
      </c>
    </row>
    <row r="39" spans="1:5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>
        <v>1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>
        <f t="shared" si="0"/>
        <v>2</v>
      </c>
      <c r="AZ39" s="1" t="s">
        <v>55</v>
      </c>
      <c r="BA39" s="1">
        <v>1</v>
      </c>
    </row>
    <row r="40" spans="1:5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>
        <v>1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>
        <f t="shared" si="0"/>
        <v>3</v>
      </c>
      <c r="AZ40" s="1" t="s">
        <v>55</v>
      </c>
      <c r="BA40" s="1">
        <v>3</v>
      </c>
    </row>
    <row r="41" spans="1:5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>
        <f t="shared" si="0"/>
        <v>5</v>
      </c>
      <c r="AZ41" s="1" t="s">
        <v>55</v>
      </c>
      <c r="BA41" s="1">
        <v>5</v>
      </c>
    </row>
    <row r="42" spans="1:5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>
        <v>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>
        <f t="shared" si="0"/>
        <v>10</v>
      </c>
      <c r="AZ42" s="1" t="s">
        <v>55</v>
      </c>
      <c r="BA42" s="1">
        <v>1</v>
      </c>
    </row>
    <row r="43" spans="1:5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v>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f t="shared" si="0"/>
        <v>3</v>
      </c>
      <c r="AZ43" s="1" t="s">
        <v>55</v>
      </c>
      <c r="BA43" s="1">
        <v>1</v>
      </c>
    </row>
    <row r="44" spans="1:5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>
        <v>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>
        <f t="shared" si="0"/>
        <v>5</v>
      </c>
      <c r="AZ44" s="1" t="s">
        <v>55</v>
      </c>
      <c r="BA44" s="1">
        <v>5</v>
      </c>
    </row>
    <row r="45" spans="1:5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>
        <v>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>
        <f t="shared" si="0"/>
        <v>2</v>
      </c>
      <c r="AZ45" s="1" t="s">
        <v>55</v>
      </c>
      <c r="BA45" s="1">
        <v>1</v>
      </c>
    </row>
    <row r="46" spans="1:5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>
        <v>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>
        <f t="shared" si="0"/>
        <v>3</v>
      </c>
      <c r="AZ46" s="1" t="s">
        <v>55</v>
      </c>
      <c r="BA46" s="1">
        <v>1</v>
      </c>
    </row>
    <row r="47" spans="1:5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>
        <f t="shared" si="0"/>
        <v>5</v>
      </c>
      <c r="AZ47" s="1" t="s">
        <v>55</v>
      </c>
      <c r="BA47" s="1">
        <v>5</v>
      </c>
    </row>
    <row r="48" spans="1:5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>
        <v>1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>
        <f t="shared" si="0"/>
        <v>5</v>
      </c>
      <c r="AZ48" s="1" t="s">
        <v>55</v>
      </c>
      <c r="BA48" s="1">
        <v>5</v>
      </c>
    </row>
    <row r="49" spans="1:5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>
        <v>1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>
        <f t="shared" si="0"/>
        <v>5</v>
      </c>
      <c r="AZ49" s="1" t="s">
        <v>55</v>
      </c>
      <c r="BA49" s="1">
        <v>5</v>
      </c>
    </row>
    <row r="50" spans="1:5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>
        <v>1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>
        <f t="shared" si="0"/>
        <v>2</v>
      </c>
      <c r="AZ50" s="1" t="s">
        <v>55</v>
      </c>
      <c r="BA50" s="1">
        <v>1</v>
      </c>
    </row>
    <row r="51" spans="1:5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>
        <v>1</v>
      </c>
      <c r="AP51" s="1"/>
      <c r="AQ51" s="1"/>
      <c r="AR51" s="1"/>
      <c r="AS51" s="1"/>
      <c r="AT51" s="1"/>
      <c r="AU51" s="1"/>
      <c r="AV51" s="1"/>
      <c r="AW51" s="1"/>
      <c r="AX51" s="1"/>
      <c r="AY51" s="1">
        <f t="shared" si="0"/>
        <v>2</v>
      </c>
      <c r="AZ51" s="1" t="s">
        <v>55</v>
      </c>
      <c r="BA51" s="1">
        <v>1</v>
      </c>
    </row>
    <row r="52" spans="1:5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>
        <v>1</v>
      </c>
      <c r="AQ52" s="1"/>
      <c r="AR52" s="1"/>
      <c r="AS52" s="1"/>
      <c r="AT52" s="1"/>
      <c r="AU52" s="1"/>
      <c r="AV52" s="1"/>
      <c r="AW52" s="1"/>
      <c r="AX52" s="1"/>
      <c r="AY52" s="1">
        <f t="shared" si="0"/>
        <v>50</v>
      </c>
      <c r="AZ52" s="1" t="s">
        <v>55</v>
      </c>
      <c r="BA52" s="1">
        <v>3</v>
      </c>
    </row>
    <row r="53" spans="1:5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>
        <v>1</v>
      </c>
      <c r="AR53" s="1"/>
      <c r="AS53" s="1"/>
      <c r="AT53" s="1"/>
      <c r="AU53" s="1"/>
      <c r="AV53" s="1"/>
      <c r="AW53" s="1"/>
      <c r="AX53" s="1"/>
      <c r="AY53" s="1">
        <f t="shared" si="0"/>
        <v>2</v>
      </c>
      <c r="AZ53" s="1" t="s">
        <v>55</v>
      </c>
      <c r="BA53" s="1">
        <v>1</v>
      </c>
    </row>
    <row r="54" spans="1:5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>
        <v>1</v>
      </c>
      <c r="AS54" s="1"/>
      <c r="AT54" s="1"/>
      <c r="AU54" s="1"/>
      <c r="AV54" s="1"/>
      <c r="AW54" s="1"/>
      <c r="AX54" s="1"/>
      <c r="AY54" s="1">
        <f t="shared" si="0"/>
        <v>2</v>
      </c>
      <c r="AZ54" s="1" t="s">
        <v>55</v>
      </c>
      <c r="BA54" s="1">
        <v>1</v>
      </c>
    </row>
    <row r="55" spans="1:5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>
        <v>1</v>
      </c>
      <c r="AT55" s="1"/>
      <c r="AU55" s="1"/>
      <c r="AV55" s="1"/>
      <c r="AW55" s="1"/>
      <c r="AX55" s="1"/>
      <c r="AY55" s="1">
        <f t="shared" si="0"/>
        <v>20</v>
      </c>
      <c r="AZ55" s="1" t="s">
        <v>55</v>
      </c>
      <c r="BA55" s="1">
        <v>3</v>
      </c>
    </row>
    <row r="56" spans="1:5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1</v>
      </c>
      <c r="AU56" s="1"/>
      <c r="AV56" s="1"/>
      <c r="AW56" s="1"/>
      <c r="AX56" s="1"/>
      <c r="AY56" s="1">
        <f t="shared" si="0"/>
        <v>10</v>
      </c>
      <c r="AZ56" s="1" t="s">
        <v>55</v>
      </c>
      <c r="BA56" s="1">
        <v>10</v>
      </c>
    </row>
    <row r="57" spans="1:5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>
        <v>1</v>
      </c>
      <c r="AV57" s="1"/>
      <c r="AW57" s="1"/>
      <c r="AX57" s="1"/>
      <c r="AY57" s="1">
        <f t="shared" si="0"/>
        <v>2</v>
      </c>
      <c r="AZ57" s="1" t="s">
        <v>55</v>
      </c>
      <c r="BA57" s="1">
        <v>1</v>
      </c>
    </row>
    <row r="58" spans="1:5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>
        <v>1</v>
      </c>
      <c r="AW58" s="1"/>
      <c r="AX58" s="1"/>
      <c r="AY58" s="1">
        <f t="shared" si="0"/>
        <v>2</v>
      </c>
      <c r="AZ58" s="1" t="s">
        <v>55</v>
      </c>
      <c r="BA58" s="1">
        <v>1</v>
      </c>
    </row>
    <row r="59" spans="1:5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>
        <v>1</v>
      </c>
      <c r="AX59" s="1"/>
      <c r="AY59" s="1">
        <f t="shared" si="0"/>
        <v>3</v>
      </c>
      <c r="AZ59" s="1" t="s">
        <v>55</v>
      </c>
      <c r="BA59" s="1">
        <v>2</v>
      </c>
    </row>
    <row r="60" spans="1:5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>
        <v>1</v>
      </c>
      <c r="AY60" s="1">
        <f t="shared" si="0"/>
        <v>4</v>
      </c>
      <c r="AZ60" s="1" t="s">
        <v>55</v>
      </c>
      <c r="BA60" s="1">
        <v>3</v>
      </c>
    </row>
    <row r="61" spans="1:53" x14ac:dyDescent="0.25">
      <c r="A61" s="1"/>
      <c r="B61" s="1"/>
      <c r="C61" s="1"/>
      <c r="D61" s="1"/>
      <c r="E61" s="1">
        <v>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>
        <f t="shared" si="0"/>
        <v>1</v>
      </c>
      <c r="AZ61" s="2" t="s">
        <v>54</v>
      </c>
      <c r="BA61" s="2">
        <v>2</v>
      </c>
    </row>
    <row r="62" spans="1:53" x14ac:dyDescent="0.25">
      <c r="A62" s="1"/>
      <c r="B62" s="1"/>
      <c r="C62" s="1"/>
      <c r="D62" s="1"/>
      <c r="E62" s="1"/>
      <c r="F62" s="1"/>
      <c r="G62" s="1"/>
      <c r="H62" s="1"/>
      <c r="I62" s="1"/>
      <c r="J62" s="1">
        <v>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>
        <f t="shared" si="0"/>
        <v>1</v>
      </c>
      <c r="AZ62" s="2" t="s">
        <v>54</v>
      </c>
      <c r="BA62" s="2">
        <v>2</v>
      </c>
    </row>
    <row r="63" spans="1:5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>
        <v>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>
        <f t="shared" si="0"/>
        <v>2</v>
      </c>
      <c r="AZ63" s="2" t="s">
        <v>54</v>
      </c>
      <c r="BA63" s="2">
        <v>2</v>
      </c>
    </row>
    <row r="64" spans="1:5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>
        <f t="shared" si="0"/>
        <v>2</v>
      </c>
      <c r="AZ64" s="2" t="s">
        <v>54</v>
      </c>
      <c r="BA64" s="2">
        <v>2</v>
      </c>
    </row>
    <row r="65" spans="1:5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>
        <v>1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>
        <f t="shared" si="0"/>
        <v>2</v>
      </c>
      <c r="AZ65" s="2" t="s">
        <v>54</v>
      </c>
      <c r="BA65" s="2">
        <v>3</v>
      </c>
    </row>
    <row r="66" spans="1:5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>
        <v>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>
        <f t="shared" si="0"/>
        <v>2</v>
      </c>
      <c r="AZ66" s="2" t="s">
        <v>54</v>
      </c>
      <c r="BA66" s="2">
        <v>10</v>
      </c>
    </row>
    <row r="67" spans="1:5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>
        <v>1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>
        <f t="shared" si="0"/>
        <v>5</v>
      </c>
      <c r="AZ67" s="2" t="s">
        <v>54</v>
      </c>
      <c r="BA67" s="2">
        <v>10</v>
      </c>
    </row>
    <row r="68" spans="1:5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>
        <v>1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>
        <f t="shared" si="0"/>
        <v>4</v>
      </c>
      <c r="AZ68" s="2" t="s">
        <v>54</v>
      </c>
      <c r="BA68" s="2">
        <v>10</v>
      </c>
    </row>
    <row r="69" spans="1:5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1</v>
      </c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f t="shared" si="0"/>
        <v>5</v>
      </c>
      <c r="AZ69" s="2" t="s">
        <v>54</v>
      </c>
      <c r="BA69" s="2">
        <v>5</v>
      </c>
    </row>
    <row r="70" spans="1:5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v>1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>
        <f t="shared" si="0"/>
        <v>5</v>
      </c>
      <c r="AZ70" s="2" t="s">
        <v>54</v>
      </c>
      <c r="BA70" s="2">
        <v>5</v>
      </c>
    </row>
    <row r="71" spans="1:5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>
        <v>1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>
        <f t="shared" si="0"/>
        <v>3</v>
      </c>
      <c r="AZ71" s="2" t="s">
        <v>54</v>
      </c>
      <c r="BA71" s="2">
        <v>3</v>
      </c>
    </row>
    <row r="72" spans="1:5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>
        <v>1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>
        <f t="shared" si="0"/>
        <v>2</v>
      </c>
      <c r="AZ72" s="2" t="s">
        <v>54</v>
      </c>
      <c r="BA72" s="2">
        <v>2</v>
      </c>
    </row>
    <row r="73" spans="1:5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>
        <v>1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>
        <f t="shared" si="0"/>
        <v>5</v>
      </c>
      <c r="AZ73" s="2" t="s">
        <v>54</v>
      </c>
      <c r="BA73" s="2">
        <v>5</v>
      </c>
    </row>
    <row r="74" spans="1:5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>
        <v>1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>
        <f t="shared" si="0"/>
        <v>2</v>
      </c>
      <c r="AZ74" s="2" t="s">
        <v>54</v>
      </c>
      <c r="BA74" s="2">
        <v>2</v>
      </c>
    </row>
    <row r="75" spans="1:5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>
        <v>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>
        <f t="shared" si="0"/>
        <v>3</v>
      </c>
      <c r="AZ75" s="2" t="s">
        <v>54</v>
      </c>
      <c r="BA75" s="2">
        <v>3</v>
      </c>
    </row>
    <row r="76" spans="1:5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>
        <v>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>
        <f t="shared" ref="AY76:AY90" si="1">SUMPRODUCT($A$3:$AX$3,A76:AX76)</f>
        <v>10</v>
      </c>
      <c r="AZ76" s="2" t="s">
        <v>54</v>
      </c>
      <c r="BA76" s="2">
        <v>10</v>
      </c>
    </row>
    <row r="77" spans="1:5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>
        <v>1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>
        <f t="shared" si="1"/>
        <v>2</v>
      </c>
      <c r="AZ77" s="2" t="s">
        <v>54</v>
      </c>
      <c r="BA77" s="2">
        <v>2</v>
      </c>
    </row>
    <row r="78" spans="1:5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>
        <v>1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>
        <f t="shared" si="1"/>
        <v>2</v>
      </c>
      <c r="AZ78" s="2" t="s">
        <v>54</v>
      </c>
      <c r="BA78" s="2">
        <v>2</v>
      </c>
    </row>
    <row r="79" spans="1:5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>
        <v>1</v>
      </c>
      <c r="AP79" s="1"/>
      <c r="AQ79" s="1"/>
      <c r="AR79" s="1"/>
      <c r="AS79" s="1"/>
      <c r="AT79" s="1"/>
      <c r="AU79" s="1"/>
      <c r="AV79" s="1"/>
      <c r="AW79" s="1"/>
      <c r="AX79" s="1"/>
      <c r="AY79" s="1">
        <f t="shared" si="1"/>
        <v>2</v>
      </c>
      <c r="AZ79" s="2" t="s">
        <v>54</v>
      </c>
      <c r="BA79" s="2">
        <v>2</v>
      </c>
    </row>
    <row r="80" spans="1:5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>
        <v>1</v>
      </c>
      <c r="AR80" s="1"/>
      <c r="AS80" s="1"/>
      <c r="AT80" s="1"/>
      <c r="AU80" s="1"/>
      <c r="AV80" s="1"/>
      <c r="AW80" s="1"/>
      <c r="AX80" s="1"/>
      <c r="AY80" s="1">
        <f t="shared" si="1"/>
        <v>2</v>
      </c>
      <c r="AZ80" s="2" t="s">
        <v>54</v>
      </c>
      <c r="BA80" s="2">
        <v>2</v>
      </c>
    </row>
    <row r="81" spans="1:5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>
        <v>1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>
        <f t="shared" si="1"/>
        <v>3</v>
      </c>
      <c r="AZ81" s="2" t="s">
        <v>54</v>
      </c>
      <c r="BA81" s="2">
        <v>3</v>
      </c>
    </row>
    <row r="82" spans="1:5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>
        <v>1</v>
      </c>
      <c r="AS82" s="1"/>
      <c r="AT82" s="1"/>
      <c r="AU82" s="1"/>
      <c r="AV82" s="1"/>
      <c r="AW82" s="1"/>
      <c r="AX82" s="1"/>
      <c r="AY82" s="1">
        <f t="shared" si="1"/>
        <v>2</v>
      </c>
      <c r="AZ82" s="2" t="s">
        <v>54</v>
      </c>
      <c r="BA82" s="2">
        <v>2</v>
      </c>
    </row>
    <row r="83" spans="1:5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>
        <v>1</v>
      </c>
      <c r="AU83" s="1"/>
      <c r="AV83" s="1"/>
      <c r="AW83" s="1"/>
      <c r="AX83" s="1"/>
      <c r="AY83" s="1">
        <f t="shared" si="1"/>
        <v>10</v>
      </c>
      <c r="AZ83" s="2" t="s">
        <v>54</v>
      </c>
      <c r="BA83" s="2">
        <v>20</v>
      </c>
    </row>
    <row r="84" spans="1:5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>
        <v>1</v>
      </c>
      <c r="AV84" s="1"/>
      <c r="AW84" s="1"/>
      <c r="AX84" s="1"/>
      <c r="AY84" s="1">
        <f t="shared" si="1"/>
        <v>2</v>
      </c>
      <c r="AZ84" s="2" t="s">
        <v>54</v>
      </c>
      <c r="BA84" s="2">
        <v>2</v>
      </c>
    </row>
    <row r="85" spans="1:5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>
        <v>1</v>
      </c>
      <c r="AW85" s="1"/>
      <c r="AX85" s="1"/>
      <c r="AY85" s="1">
        <f t="shared" si="1"/>
        <v>2</v>
      </c>
      <c r="AZ85" s="2" t="s">
        <v>54</v>
      </c>
      <c r="BA85" s="2">
        <v>2</v>
      </c>
    </row>
    <row r="86" spans="1:5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>
        <v>1</v>
      </c>
      <c r="AX86" s="1"/>
      <c r="AY86" s="1">
        <f t="shared" si="1"/>
        <v>3</v>
      </c>
      <c r="AZ86" s="2" t="s">
        <v>54</v>
      </c>
      <c r="BA86" s="2">
        <v>3</v>
      </c>
    </row>
    <row r="87" spans="1:5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>
        <v>1</v>
      </c>
      <c r="AY87" s="1">
        <f t="shared" si="1"/>
        <v>4</v>
      </c>
      <c r="AZ87" s="2" t="s">
        <v>54</v>
      </c>
      <c r="BA87" s="2">
        <v>4</v>
      </c>
    </row>
    <row r="88" spans="1:5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>
        <v>1</v>
      </c>
      <c r="AT88" s="1"/>
      <c r="AU88" s="1"/>
      <c r="AV88" s="1"/>
      <c r="AW88" s="1"/>
      <c r="AX88" s="1"/>
      <c r="AY88" s="1">
        <f t="shared" si="1"/>
        <v>20</v>
      </c>
      <c r="AZ88" s="2" t="s">
        <v>54</v>
      </c>
      <c r="BA88" s="2">
        <v>20</v>
      </c>
    </row>
    <row r="89" spans="1:5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>
        <v>1</v>
      </c>
      <c r="AQ89" s="1"/>
      <c r="AR89" s="1"/>
      <c r="AS89" s="1"/>
      <c r="AT89" s="1"/>
      <c r="AU89" s="1"/>
      <c r="AV89" s="1"/>
      <c r="AW89" s="1"/>
      <c r="AX89" s="1"/>
      <c r="AY89" s="1">
        <f t="shared" si="1"/>
        <v>50</v>
      </c>
      <c r="AZ89" s="2" t="s">
        <v>54</v>
      </c>
      <c r="BA89" s="2">
        <v>50</v>
      </c>
    </row>
    <row r="90" spans="1:53" x14ac:dyDescent="0.25">
      <c r="A90" s="1">
        <f>0.05*0.05</f>
        <v>2.5000000000000005E-3</v>
      </c>
      <c r="B90" s="1">
        <f>0.05*0.05</f>
        <v>2.5000000000000005E-3</v>
      </c>
      <c r="C90" s="1">
        <f>0.05*0.05</f>
        <v>2.5000000000000005E-3</v>
      </c>
      <c r="D90" s="1">
        <f>0.05*0.05</f>
        <v>2.5000000000000005E-3</v>
      </c>
      <c r="E90" s="1">
        <f>0.15*0.15</f>
        <v>2.2499999999999999E-2</v>
      </c>
      <c r="F90" s="1">
        <f>0.08*0.08</f>
        <v>6.4000000000000003E-3</v>
      </c>
      <c r="G90" s="1">
        <f>0.08*0.08</f>
        <v>6.4000000000000003E-3</v>
      </c>
      <c r="H90" s="1">
        <f>0.1*0.1</f>
        <v>1.0000000000000002E-2</v>
      </c>
      <c r="I90" s="1">
        <f>0.1*0.1</f>
        <v>1.0000000000000002E-2</v>
      </c>
      <c r="J90" s="1">
        <f>0.25*0.25</f>
        <v>6.25E-2</v>
      </c>
      <c r="K90" s="1">
        <f>0.1*0.1</f>
        <v>1.0000000000000002E-2</v>
      </c>
      <c r="L90" s="1">
        <f>0.2*0.2</f>
        <v>4.0000000000000008E-2</v>
      </c>
      <c r="M90" s="1">
        <f>0.15*0.15</f>
        <v>2.2499999999999999E-2</v>
      </c>
      <c r="N90" s="1">
        <f>0.4*0.4</f>
        <v>0.16000000000000003</v>
      </c>
      <c r="O90" s="1">
        <f>0.4*0.4</f>
        <v>0.16000000000000003</v>
      </c>
      <c r="P90" s="1">
        <f>0.22*0.22</f>
        <v>4.8399999999999999E-2</v>
      </c>
      <c r="Q90" s="1">
        <f>0.1*0.1</f>
        <v>1.0000000000000002E-2</v>
      </c>
      <c r="R90" s="1">
        <f>0.3*0.3</f>
        <v>0.09</v>
      </c>
      <c r="S90" s="1">
        <f>0.3*0.15</f>
        <v>4.4999999999999998E-2</v>
      </c>
      <c r="T90" s="1">
        <f>0.2*0.2</f>
        <v>4.0000000000000008E-2</v>
      </c>
      <c r="U90" s="1">
        <f>0.25*0.25</f>
        <v>6.25E-2</v>
      </c>
      <c r="V90" s="1">
        <f>0.3*0.15</f>
        <v>4.4999999999999998E-2</v>
      </c>
      <c r="W90" s="1">
        <f>0.6*0.6</f>
        <v>0.36</v>
      </c>
      <c r="X90" s="1">
        <v>0.36</v>
      </c>
      <c r="Y90" s="1">
        <f>0.3*0.3</f>
        <v>0.09</v>
      </c>
      <c r="Z90" s="1">
        <f>0.5*0.5</f>
        <v>0.25</v>
      </c>
      <c r="AA90" s="1">
        <f>0.45*0.45</f>
        <v>0.20250000000000001</v>
      </c>
      <c r="AB90" s="1">
        <v>0.36</v>
      </c>
      <c r="AC90" s="1">
        <f>0.6*0.6</f>
        <v>0.36</v>
      </c>
      <c r="AD90" s="1">
        <f>0.3*0.3</f>
        <v>0.09</v>
      </c>
      <c r="AE90" s="1">
        <f>0.15*0.3</f>
        <v>4.4999999999999998E-2</v>
      </c>
      <c r="AF90" s="1">
        <f>0.6*0.6</f>
        <v>0.36</v>
      </c>
      <c r="AG90" s="1">
        <f>0.5*0.5</f>
        <v>0.25</v>
      </c>
      <c r="AH90" s="1">
        <f>0.2*0.2</f>
        <v>4.0000000000000008E-2</v>
      </c>
      <c r="AI90" s="1">
        <f>0.6*0.6</f>
        <v>0.36</v>
      </c>
      <c r="AJ90" s="1">
        <f>0.6*0.6</f>
        <v>0.36</v>
      </c>
      <c r="AK90" s="1">
        <f>0.25*0.25</f>
        <v>6.25E-2</v>
      </c>
      <c r="AL90" s="1">
        <f>0.25*0.25</f>
        <v>6.25E-2</v>
      </c>
      <c r="AM90" s="1">
        <f>0.3*0.3</f>
        <v>0.09</v>
      </c>
      <c r="AN90" s="1">
        <f>0.6*0.6</f>
        <v>0.36</v>
      </c>
      <c r="AO90" s="1">
        <f>0.75*0.75</f>
        <v>0.5625</v>
      </c>
      <c r="AP90" s="1">
        <f>0.38*0.38</f>
        <v>0.1444</v>
      </c>
      <c r="AQ90" s="1">
        <f>0.75*0.75</f>
        <v>0.5625</v>
      </c>
      <c r="AR90" s="1">
        <f>0.6*0.6</f>
        <v>0.36</v>
      </c>
      <c r="AS90" s="1">
        <f>0.5*0.5</f>
        <v>0.25</v>
      </c>
      <c r="AT90" s="1">
        <f>0.3*0.3</f>
        <v>0.09</v>
      </c>
      <c r="AU90" s="1">
        <v>1</v>
      </c>
      <c r="AV90" s="1">
        <v>1</v>
      </c>
      <c r="AW90" s="1">
        <f>0.6*0.6</f>
        <v>0.36</v>
      </c>
      <c r="AX90" s="1">
        <f>0.5*0.5</f>
        <v>0.25</v>
      </c>
      <c r="AY90" s="1">
        <f t="shared" si="1"/>
        <v>74.999800000000008</v>
      </c>
      <c r="AZ90" s="2" t="s">
        <v>54</v>
      </c>
      <c r="BA90" s="2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"/>
  <sheetViews>
    <sheetView showGridLines="0" workbookViewId="0"/>
  </sheetViews>
  <sheetFormatPr defaultRowHeight="15" x14ac:dyDescent="0.25"/>
  <cols>
    <col min="1" max="1" width="2.125" customWidth="1"/>
    <col min="2" max="2" width="16.875" customWidth="1"/>
    <col min="3" max="3" width="5.5" customWidth="1"/>
    <col min="4" max="4" width="11.875" bestFit="1" customWidth="1"/>
    <col min="5" max="5" width="16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400</v>
      </c>
    </row>
    <row r="3" spans="1:5" x14ac:dyDescent="0.25">
      <c r="A3" s="3" t="s">
        <v>401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402</v>
      </c>
    </row>
    <row r="8" spans="1:5" x14ac:dyDescent="0.25">
      <c r="A8" s="3"/>
      <c r="B8" t="s">
        <v>403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9" t="s">
        <v>70</v>
      </c>
      <c r="C15" s="9" t="s">
        <v>71</v>
      </c>
      <c r="D15" s="9" t="s">
        <v>72</v>
      </c>
      <c r="E15" s="9" t="s">
        <v>73</v>
      </c>
    </row>
    <row r="16" spans="1:5" ht="15.75" thickBot="1" x14ac:dyDescent="0.3">
      <c r="B16" s="4" t="s">
        <v>404</v>
      </c>
      <c r="C16" s="4" t="s">
        <v>57</v>
      </c>
      <c r="D16" s="7">
        <v>73.8</v>
      </c>
      <c r="E16" s="7">
        <v>73.799800000000005</v>
      </c>
    </row>
    <row r="19" spans="1:6" ht="15.75" thickBot="1" x14ac:dyDescent="0.3">
      <c r="A19" t="s">
        <v>74</v>
      </c>
    </row>
    <row r="20" spans="1:6" ht="15.75" thickBot="1" x14ac:dyDescent="0.3">
      <c r="B20" s="9" t="s">
        <v>70</v>
      </c>
      <c r="C20" s="9" t="s">
        <v>71</v>
      </c>
      <c r="D20" s="9" t="s">
        <v>72</v>
      </c>
      <c r="E20" s="9" t="s">
        <v>73</v>
      </c>
      <c r="F20" s="9" t="s">
        <v>75</v>
      </c>
    </row>
    <row r="21" spans="1:6" x14ac:dyDescent="0.25">
      <c r="B21" s="6" t="s">
        <v>81</v>
      </c>
      <c r="C21" s="6" t="s">
        <v>0</v>
      </c>
      <c r="D21" s="8">
        <v>17</v>
      </c>
      <c r="E21" s="8">
        <v>54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2</v>
      </c>
      <c r="E34" s="8">
        <v>1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2</v>
      </c>
      <c r="E35" s="8">
        <v>1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3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10</v>
      </c>
      <c r="E38" s="8">
        <v>2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5</v>
      </c>
      <c r="E43" s="8">
        <v>1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5</v>
      </c>
      <c r="E44" s="8">
        <v>1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100</v>
      </c>
      <c r="E45" s="8">
        <v>2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3</v>
      </c>
      <c r="E46" s="8">
        <v>1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2</v>
      </c>
      <c r="E47" s="8">
        <v>1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5</v>
      </c>
      <c r="E48" s="8">
        <v>1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2</v>
      </c>
      <c r="E49" s="8">
        <v>1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264</v>
      </c>
      <c r="E50" s="8">
        <v>3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3</v>
      </c>
      <c r="E53" s="8">
        <v>1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2</v>
      </c>
      <c r="E55" s="8">
        <v>1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3</v>
      </c>
      <c r="E56" s="8">
        <v>1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5</v>
      </c>
      <c r="E59" s="8">
        <v>5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2</v>
      </c>
      <c r="E60" s="8">
        <v>1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1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50</v>
      </c>
      <c r="E62" s="8">
        <v>3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2</v>
      </c>
      <c r="E63" s="8">
        <v>1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1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20</v>
      </c>
      <c r="E65" s="8">
        <v>3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1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2</v>
      </c>
      <c r="E68" s="8">
        <v>60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2</v>
      </c>
      <c r="F69" s="6" t="s">
        <v>75</v>
      </c>
    </row>
    <row r="70" spans="1:7" x14ac:dyDescent="0.25">
      <c r="B70" s="6" t="s">
        <v>229</v>
      </c>
      <c r="C70" s="6" t="s">
        <v>49</v>
      </c>
      <c r="D70" s="8">
        <v>4</v>
      </c>
      <c r="E70" s="8">
        <v>3</v>
      </c>
      <c r="F70" s="6" t="s">
        <v>75</v>
      </c>
    </row>
    <row r="71" spans="1:7" x14ac:dyDescent="0.25">
      <c r="B71" s="6" t="s">
        <v>405</v>
      </c>
      <c r="C71" s="6" t="s">
        <v>398</v>
      </c>
      <c r="D71" s="8">
        <v>3</v>
      </c>
      <c r="E71" s="8">
        <v>3</v>
      </c>
      <c r="F71" s="6" t="s">
        <v>75</v>
      </c>
    </row>
    <row r="72" spans="1:7" ht="15.75" thickBot="1" x14ac:dyDescent="0.3">
      <c r="B72" s="4" t="s">
        <v>406</v>
      </c>
      <c r="C72" s="4" t="s">
        <v>399</v>
      </c>
      <c r="D72" s="7">
        <v>5</v>
      </c>
      <c r="E72" s="7">
        <v>5</v>
      </c>
      <c r="F72" s="4" t="s">
        <v>75</v>
      </c>
    </row>
    <row r="75" spans="1:7" ht="15.75" thickBot="1" x14ac:dyDescent="0.3">
      <c r="A75" t="s">
        <v>51</v>
      </c>
    </row>
    <row r="76" spans="1:7" ht="15.75" thickBot="1" x14ac:dyDescent="0.3">
      <c r="B76" s="9" t="s">
        <v>70</v>
      </c>
      <c r="C76" s="9" t="s">
        <v>71</v>
      </c>
      <c r="D76" s="9" t="s">
        <v>76</v>
      </c>
      <c r="E76" s="9" t="s">
        <v>77</v>
      </c>
      <c r="F76" s="9" t="s">
        <v>78</v>
      </c>
      <c r="G76" s="9" t="s">
        <v>79</v>
      </c>
    </row>
    <row r="77" spans="1:7" x14ac:dyDescent="0.25">
      <c r="B77" s="6" t="s">
        <v>407</v>
      </c>
      <c r="C77" s="6" t="s">
        <v>57</v>
      </c>
      <c r="D77" s="8">
        <v>74.999800000000008</v>
      </c>
      <c r="E77" s="6" t="s">
        <v>408</v>
      </c>
      <c r="F77" s="6" t="s">
        <v>113</v>
      </c>
      <c r="G77" s="6">
        <v>1.9999999999242846E-4</v>
      </c>
    </row>
    <row r="78" spans="1:7" x14ac:dyDescent="0.25">
      <c r="B78" s="6" t="s">
        <v>409</v>
      </c>
      <c r="C78" s="6" t="s">
        <v>57</v>
      </c>
      <c r="D78" s="8">
        <v>54</v>
      </c>
      <c r="E78" s="6" t="s">
        <v>410</v>
      </c>
      <c r="F78" s="6" t="s">
        <v>113</v>
      </c>
      <c r="G78" s="8">
        <v>49</v>
      </c>
    </row>
    <row r="79" spans="1:7" x14ac:dyDescent="0.25">
      <c r="B79" s="6" t="s">
        <v>411</v>
      </c>
      <c r="C79" s="6" t="s">
        <v>57</v>
      </c>
      <c r="D79" s="8">
        <v>5</v>
      </c>
      <c r="E79" s="6" t="s">
        <v>412</v>
      </c>
      <c r="F79" s="6" t="s">
        <v>126</v>
      </c>
      <c r="G79" s="8">
        <v>0</v>
      </c>
    </row>
    <row r="80" spans="1:7" x14ac:dyDescent="0.25">
      <c r="B80" s="6" t="s">
        <v>413</v>
      </c>
      <c r="C80" s="6" t="s">
        <v>57</v>
      </c>
      <c r="D80" s="8">
        <v>5</v>
      </c>
      <c r="E80" s="6" t="s">
        <v>414</v>
      </c>
      <c r="F80" s="6" t="s">
        <v>126</v>
      </c>
      <c r="G80" s="8">
        <v>0</v>
      </c>
    </row>
    <row r="81" spans="2:7" x14ac:dyDescent="0.25">
      <c r="B81" s="6" t="s">
        <v>415</v>
      </c>
      <c r="C81" s="6" t="s">
        <v>57</v>
      </c>
      <c r="D81" s="8">
        <v>4</v>
      </c>
      <c r="E81" s="6" t="s">
        <v>416</v>
      </c>
      <c r="F81" s="6" t="s">
        <v>126</v>
      </c>
      <c r="G81" s="8">
        <v>0</v>
      </c>
    </row>
    <row r="82" spans="2:7" x14ac:dyDescent="0.25">
      <c r="B82" s="6" t="s">
        <v>417</v>
      </c>
      <c r="C82" s="6" t="s">
        <v>57</v>
      </c>
      <c r="D82" s="8">
        <v>1</v>
      </c>
      <c r="E82" s="6" t="s">
        <v>418</v>
      </c>
      <c r="F82" s="6" t="s">
        <v>126</v>
      </c>
      <c r="G82" s="8">
        <v>0</v>
      </c>
    </row>
    <row r="83" spans="2:7" x14ac:dyDescent="0.25">
      <c r="B83" s="6" t="s">
        <v>419</v>
      </c>
      <c r="C83" s="6" t="s">
        <v>57</v>
      </c>
      <c r="D83" s="8">
        <v>4</v>
      </c>
      <c r="E83" s="6" t="s">
        <v>420</v>
      </c>
      <c r="F83" s="6" t="s">
        <v>126</v>
      </c>
      <c r="G83" s="8">
        <v>0</v>
      </c>
    </row>
    <row r="84" spans="2:7" x14ac:dyDescent="0.25">
      <c r="B84" s="6" t="s">
        <v>421</v>
      </c>
      <c r="C84" s="6" t="s">
        <v>57</v>
      </c>
      <c r="D84" s="8">
        <v>3</v>
      </c>
      <c r="E84" s="6" t="s">
        <v>422</v>
      </c>
      <c r="F84" s="6" t="s">
        <v>126</v>
      </c>
      <c r="G84" s="8">
        <v>0</v>
      </c>
    </row>
    <row r="85" spans="2:7" x14ac:dyDescent="0.25">
      <c r="B85" s="6" t="s">
        <v>423</v>
      </c>
      <c r="C85" s="6" t="s">
        <v>57</v>
      </c>
      <c r="D85" s="8">
        <v>3</v>
      </c>
      <c r="E85" s="6" t="s">
        <v>424</v>
      </c>
      <c r="F85" s="6" t="s">
        <v>126</v>
      </c>
      <c r="G85" s="8">
        <v>0</v>
      </c>
    </row>
    <row r="86" spans="2:7" x14ac:dyDescent="0.25">
      <c r="B86" s="6" t="s">
        <v>425</v>
      </c>
      <c r="C86" s="6" t="s">
        <v>57</v>
      </c>
      <c r="D86" s="8">
        <v>5</v>
      </c>
      <c r="E86" s="6" t="s">
        <v>426</v>
      </c>
      <c r="F86" s="6" t="s">
        <v>126</v>
      </c>
      <c r="G86" s="8">
        <v>0</v>
      </c>
    </row>
    <row r="87" spans="2:7" x14ac:dyDescent="0.25">
      <c r="B87" s="6" t="s">
        <v>427</v>
      </c>
      <c r="C87" s="6" t="s">
        <v>57</v>
      </c>
      <c r="D87" s="8">
        <v>1</v>
      </c>
      <c r="E87" s="6" t="s">
        <v>428</v>
      </c>
      <c r="F87" s="6" t="s">
        <v>126</v>
      </c>
      <c r="G87" s="8">
        <v>0</v>
      </c>
    </row>
    <row r="88" spans="2:7" x14ac:dyDescent="0.25">
      <c r="B88" s="6" t="s">
        <v>429</v>
      </c>
      <c r="C88" s="6" t="s">
        <v>57</v>
      </c>
      <c r="D88" s="8">
        <v>5</v>
      </c>
      <c r="E88" s="6" t="s">
        <v>430</v>
      </c>
      <c r="F88" s="6" t="s">
        <v>126</v>
      </c>
      <c r="G88" s="8">
        <v>0</v>
      </c>
    </row>
    <row r="89" spans="2:7" x14ac:dyDescent="0.25">
      <c r="B89" s="6" t="s">
        <v>431</v>
      </c>
      <c r="C89" s="6" t="s">
        <v>57</v>
      </c>
      <c r="D89" s="8">
        <v>3</v>
      </c>
      <c r="E89" s="6" t="s">
        <v>432</v>
      </c>
      <c r="F89" s="6" t="s">
        <v>126</v>
      </c>
      <c r="G89" s="8">
        <v>0</v>
      </c>
    </row>
    <row r="90" spans="2:7" x14ac:dyDescent="0.25">
      <c r="B90" s="6" t="s">
        <v>433</v>
      </c>
      <c r="C90" s="6" t="s">
        <v>57</v>
      </c>
      <c r="D90" s="8">
        <v>5</v>
      </c>
      <c r="E90" s="6" t="s">
        <v>434</v>
      </c>
      <c r="F90" s="6" t="s">
        <v>126</v>
      </c>
      <c r="G90" s="8">
        <v>0</v>
      </c>
    </row>
    <row r="91" spans="2:7" x14ac:dyDescent="0.25">
      <c r="B91" s="6" t="s">
        <v>435</v>
      </c>
      <c r="C91" s="6" t="s">
        <v>57</v>
      </c>
      <c r="D91" s="8">
        <v>1</v>
      </c>
      <c r="E91" s="6" t="s">
        <v>436</v>
      </c>
      <c r="F91" s="6" t="s">
        <v>126</v>
      </c>
      <c r="G91" s="8">
        <v>0</v>
      </c>
    </row>
    <row r="92" spans="2:7" x14ac:dyDescent="0.25">
      <c r="B92" s="6" t="s">
        <v>437</v>
      </c>
      <c r="C92" s="6" t="s">
        <v>57</v>
      </c>
      <c r="D92" s="8">
        <v>1</v>
      </c>
      <c r="E92" s="6" t="s">
        <v>438</v>
      </c>
      <c r="F92" s="6" t="s">
        <v>126</v>
      </c>
      <c r="G92" s="8">
        <v>0</v>
      </c>
    </row>
    <row r="93" spans="2:7" x14ac:dyDescent="0.25">
      <c r="B93" s="6" t="s">
        <v>439</v>
      </c>
      <c r="C93" s="6" t="s">
        <v>57</v>
      </c>
      <c r="D93" s="8">
        <v>2</v>
      </c>
      <c r="E93" s="6" t="s">
        <v>440</v>
      </c>
      <c r="F93" s="6" t="s">
        <v>126</v>
      </c>
      <c r="G93" s="8">
        <v>0</v>
      </c>
    </row>
    <row r="94" spans="2:7" x14ac:dyDescent="0.25">
      <c r="B94" s="6" t="s">
        <v>441</v>
      </c>
      <c r="C94" s="6" t="s">
        <v>57</v>
      </c>
      <c r="D94" s="8">
        <v>20</v>
      </c>
      <c r="E94" s="6" t="s">
        <v>442</v>
      </c>
      <c r="F94" s="6" t="s">
        <v>126</v>
      </c>
      <c r="G94" s="8">
        <v>0</v>
      </c>
    </row>
    <row r="95" spans="2:7" x14ac:dyDescent="0.25">
      <c r="B95" s="6" t="s">
        <v>443</v>
      </c>
      <c r="C95" s="6" t="s">
        <v>57</v>
      </c>
      <c r="D95" s="8">
        <v>2</v>
      </c>
      <c r="E95" s="6" t="s">
        <v>444</v>
      </c>
      <c r="F95" s="6" t="s">
        <v>126</v>
      </c>
      <c r="G95" s="8">
        <v>0</v>
      </c>
    </row>
    <row r="96" spans="2:7" x14ac:dyDescent="0.25">
      <c r="B96" s="6" t="s">
        <v>445</v>
      </c>
      <c r="C96" s="6" t="s">
        <v>57</v>
      </c>
      <c r="D96" s="8">
        <v>5</v>
      </c>
      <c r="E96" s="6" t="s">
        <v>446</v>
      </c>
      <c r="F96" s="6" t="s">
        <v>126</v>
      </c>
      <c r="G96" s="8">
        <v>0</v>
      </c>
    </row>
    <row r="97" spans="2:7" x14ac:dyDescent="0.25">
      <c r="B97" s="6" t="s">
        <v>447</v>
      </c>
      <c r="C97" s="6" t="s">
        <v>57</v>
      </c>
      <c r="D97" s="8">
        <v>6</v>
      </c>
      <c r="E97" s="6" t="s">
        <v>448</v>
      </c>
      <c r="F97" s="6" t="s">
        <v>126</v>
      </c>
      <c r="G97" s="8">
        <v>0</v>
      </c>
    </row>
    <row r="98" spans="2:7" x14ac:dyDescent="0.25">
      <c r="B98" s="6" t="s">
        <v>449</v>
      </c>
      <c r="C98" s="6" t="s">
        <v>57</v>
      </c>
      <c r="D98" s="8">
        <v>2</v>
      </c>
      <c r="E98" s="6" t="s">
        <v>450</v>
      </c>
      <c r="F98" s="6" t="s">
        <v>126</v>
      </c>
      <c r="G98" s="8">
        <v>0</v>
      </c>
    </row>
    <row r="99" spans="2:7" x14ac:dyDescent="0.25">
      <c r="B99" s="6" t="s">
        <v>451</v>
      </c>
      <c r="C99" s="6" t="s">
        <v>57</v>
      </c>
      <c r="D99" s="8">
        <v>4</v>
      </c>
      <c r="E99" s="6" t="s">
        <v>452</v>
      </c>
      <c r="F99" s="6" t="s">
        <v>126</v>
      </c>
      <c r="G99" s="8">
        <v>0</v>
      </c>
    </row>
    <row r="100" spans="2:7" x14ac:dyDescent="0.25">
      <c r="B100" s="6" t="s">
        <v>453</v>
      </c>
      <c r="C100" s="6" t="s">
        <v>57</v>
      </c>
      <c r="D100" s="8">
        <v>1</v>
      </c>
      <c r="E100" s="6" t="s">
        <v>454</v>
      </c>
      <c r="F100" s="6" t="s">
        <v>126</v>
      </c>
      <c r="G100" s="8">
        <v>0</v>
      </c>
    </row>
    <row r="101" spans="2:7" x14ac:dyDescent="0.25">
      <c r="B101" s="6" t="s">
        <v>455</v>
      </c>
      <c r="C101" s="6" t="s">
        <v>57</v>
      </c>
      <c r="D101" s="8">
        <v>1</v>
      </c>
      <c r="E101" s="6" t="s">
        <v>456</v>
      </c>
      <c r="F101" s="6" t="s">
        <v>126</v>
      </c>
      <c r="G101" s="8">
        <v>0</v>
      </c>
    </row>
    <row r="102" spans="2:7" x14ac:dyDescent="0.25">
      <c r="B102" s="6" t="s">
        <v>457</v>
      </c>
      <c r="C102" s="6" t="s">
        <v>57</v>
      </c>
      <c r="D102" s="8">
        <v>2</v>
      </c>
      <c r="E102" s="6" t="s">
        <v>458</v>
      </c>
      <c r="F102" s="6" t="s">
        <v>126</v>
      </c>
      <c r="G102" s="8">
        <v>0</v>
      </c>
    </row>
    <row r="103" spans="2:7" x14ac:dyDescent="0.25">
      <c r="B103" s="6" t="s">
        <v>459</v>
      </c>
      <c r="C103" s="6" t="s">
        <v>57</v>
      </c>
      <c r="D103" s="8">
        <v>1</v>
      </c>
      <c r="E103" s="6" t="s">
        <v>460</v>
      </c>
      <c r="F103" s="6" t="s">
        <v>126</v>
      </c>
      <c r="G103" s="8">
        <v>0</v>
      </c>
    </row>
    <row r="104" spans="2:7" x14ac:dyDescent="0.25">
      <c r="B104" s="6" t="s">
        <v>461</v>
      </c>
      <c r="C104" s="6" t="s">
        <v>57</v>
      </c>
      <c r="D104" s="8">
        <v>1</v>
      </c>
      <c r="E104" s="6" t="s">
        <v>462</v>
      </c>
      <c r="F104" s="6" t="s">
        <v>126</v>
      </c>
      <c r="G104" s="8">
        <v>0</v>
      </c>
    </row>
    <row r="105" spans="2:7" x14ac:dyDescent="0.25">
      <c r="B105" s="6" t="s">
        <v>463</v>
      </c>
      <c r="C105" s="6" t="s">
        <v>57</v>
      </c>
      <c r="D105" s="8">
        <v>1</v>
      </c>
      <c r="E105" s="6" t="s">
        <v>464</v>
      </c>
      <c r="F105" s="6" t="s">
        <v>126</v>
      </c>
      <c r="G105" s="8">
        <v>0</v>
      </c>
    </row>
    <row r="106" spans="2:7" x14ac:dyDescent="0.25">
      <c r="B106" s="6" t="s">
        <v>465</v>
      </c>
      <c r="C106" s="6" t="s">
        <v>57</v>
      </c>
      <c r="D106" s="8">
        <v>1</v>
      </c>
      <c r="E106" s="6" t="s">
        <v>466</v>
      </c>
      <c r="F106" s="6" t="s">
        <v>126</v>
      </c>
      <c r="G106" s="8">
        <v>0</v>
      </c>
    </row>
    <row r="107" spans="2:7" x14ac:dyDescent="0.25">
      <c r="B107" s="6" t="s">
        <v>467</v>
      </c>
      <c r="C107" s="6" t="s">
        <v>57</v>
      </c>
      <c r="D107" s="8">
        <v>3</v>
      </c>
      <c r="E107" s="6" t="s">
        <v>468</v>
      </c>
      <c r="F107" s="6" t="s">
        <v>126</v>
      </c>
      <c r="G107" s="8">
        <v>0</v>
      </c>
    </row>
    <row r="108" spans="2:7" x14ac:dyDescent="0.25">
      <c r="B108" s="6" t="s">
        <v>469</v>
      </c>
      <c r="C108" s="6" t="s">
        <v>57</v>
      </c>
      <c r="D108" s="8">
        <v>5</v>
      </c>
      <c r="E108" s="6" t="s">
        <v>470</v>
      </c>
      <c r="F108" s="6" t="s">
        <v>126</v>
      </c>
      <c r="G108" s="8">
        <v>0</v>
      </c>
    </row>
    <row r="109" spans="2:7" x14ac:dyDescent="0.25">
      <c r="B109" s="6" t="s">
        <v>471</v>
      </c>
      <c r="C109" s="6" t="s">
        <v>57</v>
      </c>
      <c r="D109" s="8">
        <v>1</v>
      </c>
      <c r="E109" s="6" t="s">
        <v>472</v>
      </c>
      <c r="F109" s="6" t="s">
        <v>126</v>
      </c>
      <c r="G109" s="8">
        <v>0</v>
      </c>
    </row>
    <row r="110" spans="2:7" x14ac:dyDescent="0.25">
      <c r="B110" s="6" t="s">
        <v>473</v>
      </c>
      <c r="C110" s="6" t="s">
        <v>57</v>
      </c>
      <c r="D110" s="8">
        <v>1</v>
      </c>
      <c r="E110" s="6" t="s">
        <v>474</v>
      </c>
      <c r="F110" s="6" t="s">
        <v>126</v>
      </c>
      <c r="G110" s="8">
        <v>0</v>
      </c>
    </row>
    <row r="111" spans="2:7" x14ac:dyDescent="0.25">
      <c r="B111" s="6" t="s">
        <v>475</v>
      </c>
      <c r="C111" s="6" t="s">
        <v>57</v>
      </c>
      <c r="D111" s="8">
        <v>5</v>
      </c>
      <c r="E111" s="6" t="s">
        <v>476</v>
      </c>
      <c r="F111" s="6" t="s">
        <v>126</v>
      </c>
      <c r="G111" s="8">
        <v>0</v>
      </c>
    </row>
    <row r="112" spans="2:7" x14ac:dyDescent="0.25">
      <c r="B112" s="6" t="s">
        <v>477</v>
      </c>
      <c r="C112" s="6" t="s">
        <v>57</v>
      </c>
      <c r="D112" s="8">
        <v>1</v>
      </c>
      <c r="E112" s="6" t="s">
        <v>478</v>
      </c>
      <c r="F112" s="6" t="s">
        <v>126</v>
      </c>
      <c r="G112" s="8">
        <v>0</v>
      </c>
    </row>
    <row r="113" spans="2:7" x14ac:dyDescent="0.25">
      <c r="B113" s="6" t="s">
        <v>479</v>
      </c>
      <c r="C113" s="6" t="s">
        <v>57</v>
      </c>
      <c r="D113" s="8">
        <v>1</v>
      </c>
      <c r="E113" s="6" t="s">
        <v>480</v>
      </c>
      <c r="F113" s="6" t="s">
        <v>126</v>
      </c>
      <c r="G113" s="8">
        <v>0</v>
      </c>
    </row>
    <row r="114" spans="2:7" x14ac:dyDescent="0.25">
      <c r="B114" s="6" t="s">
        <v>481</v>
      </c>
      <c r="C114" s="6" t="s">
        <v>57</v>
      </c>
      <c r="D114" s="8">
        <v>5</v>
      </c>
      <c r="E114" s="6" t="s">
        <v>482</v>
      </c>
      <c r="F114" s="6" t="s">
        <v>126</v>
      </c>
      <c r="G114" s="8">
        <v>0</v>
      </c>
    </row>
    <row r="115" spans="2:7" x14ac:dyDescent="0.25">
      <c r="B115" s="6" t="s">
        <v>483</v>
      </c>
      <c r="C115" s="6" t="s">
        <v>57</v>
      </c>
      <c r="D115" s="8">
        <v>5</v>
      </c>
      <c r="E115" s="6" t="s">
        <v>484</v>
      </c>
      <c r="F115" s="6" t="s">
        <v>126</v>
      </c>
      <c r="G115" s="8">
        <v>0</v>
      </c>
    </row>
    <row r="116" spans="2:7" x14ac:dyDescent="0.25">
      <c r="B116" s="6" t="s">
        <v>485</v>
      </c>
      <c r="C116" s="6" t="s">
        <v>57</v>
      </c>
      <c r="D116" s="8">
        <v>5</v>
      </c>
      <c r="E116" s="6" t="s">
        <v>486</v>
      </c>
      <c r="F116" s="6" t="s">
        <v>126</v>
      </c>
      <c r="G116" s="8">
        <v>0</v>
      </c>
    </row>
    <row r="117" spans="2:7" x14ac:dyDescent="0.25">
      <c r="B117" s="6" t="s">
        <v>487</v>
      </c>
      <c r="C117" s="6" t="s">
        <v>57</v>
      </c>
      <c r="D117" s="8">
        <v>1</v>
      </c>
      <c r="E117" s="6" t="s">
        <v>488</v>
      </c>
      <c r="F117" s="6" t="s">
        <v>126</v>
      </c>
      <c r="G117" s="8">
        <v>0</v>
      </c>
    </row>
    <row r="118" spans="2:7" x14ac:dyDescent="0.25">
      <c r="B118" s="6" t="s">
        <v>489</v>
      </c>
      <c r="C118" s="6" t="s">
        <v>57</v>
      </c>
      <c r="D118" s="8">
        <v>1</v>
      </c>
      <c r="E118" s="6" t="s">
        <v>490</v>
      </c>
      <c r="F118" s="6" t="s">
        <v>126</v>
      </c>
      <c r="G118" s="8">
        <v>0</v>
      </c>
    </row>
    <row r="119" spans="2:7" x14ac:dyDescent="0.25">
      <c r="B119" s="6" t="s">
        <v>491</v>
      </c>
      <c r="C119" s="6" t="s">
        <v>57</v>
      </c>
      <c r="D119" s="8">
        <v>3</v>
      </c>
      <c r="E119" s="6" t="s">
        <v>492</v>
      </c>
      <c r="F119" s="6" t="s">
        <v>126</v>
      </c>
      <c r="G119" s="8">
        <v>0</v>
      </c>
    </row>
    <row r="120" spans="2:7" x14ac:dyDescent="0.25">
      <c r="B120" s="6" t="s">
        <v>493</v>
      </c>
      <c r="C120" s="6" t="s">
        <v>57</v>
      </c>
      <c r="D120" s="8">
        <v>1</v>
      </c>
      <c r="E120" s="6" t="s">
        <v>494</v>
      </c>
      <c r="F120" s="6" t="s">
        <v>126</v>
      </c>
      <c r="G120" s="8">
        <v>0</v>
      </c>
    </row>
    <row r="121" spans="2:7" x14ac:dyDescent="0.25">
      <c r="B121" s="6" t="s">
        <v>495</v>
      </c>
      <c r="C121" s="6" t="s">
        <v>57</v>
      </c>
      <c r="D121" s="8">
        <v>1</v>
      </c>
      <c r="E121" s="6" t="s">
        <v>496</v>
      </c>
      <c r="F121" s="6" t="s">
        <v>126</v>
      </c>
      <c r="G121" s="8">
        <v>0</v>
      </c>
    </row>
    <row r="122" spans="2:7" x14ac:dyDescent="0.25">
      <c r="B122" s="6" t="s">
        <v>497</v>
      </c>
      <c r="C122" s="6" t="s">
        <v>57</v>
      </c>
      <c r="D122" s="8">
        <v>3</v>
      </c>
      <c r="E122" s="6" t="s">
        <v>498</v>
      </c>
      <c r="F122" s="6" t="s">
        <v>126</v>
      </c>
      <c r="G122" s="8">
        <v>0</v>
      </c>
    </row>
    <row r="123" spans="2:7" x14ac:dyDescent="0.25">
      <c r="B123" s="6" t="s">
        <v>499</v>
      </c>
      <c r="C123" s="6" t="s">
        <v>57</v>
      </c>
      <c r="D123" s="8">
        <v>10</v>
      </c>
      <c r="E123" s="6" t="s">
        <v>500</v>
      </c>
      <c r="F123" s="6" t="s">
        <v>126</v>
      </c>
      <c r="G123" s="8">
        <v>0</v>
      </c>
    </row>
    <row r="124" spans="2:7" x14ac:dyDescent="0.25">
      <c r="B124" s="6" t="s">
        <v>501</v>
      </c>
      <c r="C124" s="6" t="s">
        <v>57</v>
      </c>
      <c r="D124" s="8">
        <v>1</v>
      </c>
      <c r="E124" s="6" t="s">
        <v>502</v>
      </c>
      <c r="F124" s="6" t="s">
        <v>126</v>
      </c>
      <c r="G124" s="8">
        <v>0</v>
      </c>
    </row>
    <row r="125" spans="2:7" x14ac:dyDescent="0.25">
      <c r="B125" s="6" t="s">
        <v>503</v>
      </c>
      <c r="C125" s="6" t="s">
        <v>57</v>
      </c>
      <c r="D125" s="8">
        <v>60</v>
      </c>
      <c r="E125" s="6" t="s">
        <v>504</v>
      </c>
      <c r="F125" s="6" t="s">
        <v>113</v>
      </c>
      <c r="G125" s="8">
        <v>59</v>
      </c>
    </row>
    <row r="126" spans="2:7" x14ac:dyDescent="0.25">
      <c r="B126" s="6" t="s">
        <v>505</v>
      </c>
      <c r="C126" s="6" t="s">
        <v>57</v>
      </c>
      <c r="D126" s="8">
        <v>2</v>
      </c>
      <c r="E126" s="6" t="s">
        <v>506</v>
      </c>
      <c r="F126" s="6" t="s">
        <v>126</v>
      </c>
      <c r="G126" s="8">
        <v>0</v>
      </c>
    </row>
    <row r="127" spans="2:7" x14ac:dyDescent="0.25">
      <c r="B127" s="6" t="s">
        <v>507</v>
      </c>
      <c r="C127" s="6" t="s">
        <v>57</v>
      </c>
      <c r="D127" s="8">
        <v>3</v>
      </c>
      <c r="E127" s="6" t="s">
        <v>508</v>
      </c>
      <c r="F127" s="6" t="s">
        <v>126</v>
      </c>
      <c r="G127" s="8">
        <v>0</v>
      </c>
    </row>
    <row r="128" spans="2:7" x14ac:dyDescent="0.25">
      <c r="B128" s="6" t="s">
        <v>509</v>
      </c>
      <c r="C128" s="6" t="s">
        <v>57</v>
      </c>
      <c r="D128" s="8">
        <v>3</v>
      </c>
      <c r="E128" s="6" t="s">
        <v>510</v>
      </c>
      <c r="F128" s="6" t="s">
        <v>126</v>
      </c>
      <c r="G128" s="8">
        <v>0</v>
      </c>
    </row>
    <row r="129" spans="2:7" x14ac:dyDescent="0.25">
      <c r="B129" s="6" t="s">
        <v>511</v>
      </c>
      <c r="C129" s="6" t="s">
        <v>57</v>
      </c>
      <c r="D129" s="8">
        <v>5</v>
      </c>
      <c r="E129" s="6" t="s">
        <v>512</v>
      </c>
      <c r="F129" s="6" t="s">
        <v>126</v>
      </c>
      <c r="G129" s="8">
        <v>0</v>
      </c>
    </row>
    <row r="130" spans="2:7" ht="15.75" thickBot="1" x14ac:dyDescent="0.3">
      <c r="B130" s="4" t="s">
        <v>513</v>
      </c>
      <c r="C130" s="4"/>
      <c r="D130" s="4"/>
      <c r="E130" s="4"/>
      <c r="F130" s="4"/>
      <c r="G130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showGridLines="0" workbookViewId="0"/>
  </sheetViews>
  <sheetFormatPr defaultRowHeight="15" x14ac:dyDescent="0.25"/>
  <cols>
    <col min="1" max="1" width="2.125" customWidth="1"/>
    <col min="2" max="2" width="16.875" customWidth="1"/>
    <col min="3" max="3" width="5.5" customWidth="1"/>
    <col min="4" max="4" width="11.875" bestFit="1" customWidth="1"/>
    <col min="5" max="5" width="16.875" bestFit="1" customWidth="1"/>
    <col min="6" max="6" width="9.75" customWidth="1"/>
    <col min="7" max="7" width="4.75" customWidth="1"/>
  </cols>
  <sheetData>
    <row r="1" spans="1:5" x14ac:dyDescent="0.25">
      <c r="A1" s="3" t="s">
        <v>58</v>
      </c>
    </row>
    <row r="2" spans="1:5" x14ac:dyDescent="0.25">
      <c r="A2" s="3" t="s">
        <v>400</v>
      </c>
    </row>
    <row r="3" spans="1:5" x14ac:dyDescent="0.25">
      <c r="A3" s="3" t="s">
        <v>514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515</v>
      </c>
    </row>
    <row r="8" spans="1:5" x14ac:dyDescent="0.25">
      <c r="A8" s="3"/>
      <c r="B8" t="s">
        <v>516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9" t="s">
        <v>70</v>
      </c>
      <c r="C15" s="9" t="s">
        <v>71</v>
      </c>
      <c r="D15" s="9" t="s">
        <v>72</v>
      </c>
      <c r="E15" s="9" t="s">
        <v>73</v>
      </c>
    </row>
    <row r="16" spans="1:5" ht="15.75" thickBot="1" x14ac:dyDescent="0.3">
      <c r="B16" s="4" t="s">
        <v>404</v>
      </c>
      <c r="C16" s="4" t="s">
        <v>57</v>
      </c>
      <c r="D16" s="7">
        <v>73.799800000000005</v>
      </c>
      <c r="E16" s="7">
        <v>73.8</v>
      </c>
    </row>
    <row r="19" spans="1:6" ht="15.75" thickBot="1" x14ac:dyDescent="0.3">
      <c r="A19" t="s">
        <v>74</v>
      </c>
    </row>
    <row r="20" spans="1:6" ht="15.75" thickBot="1" x14ac:dyDescent="0.3">
      <c r="B20" s="9" t="s">
        <v>70</v>
      </c>
      <c r="C20" s="9" t="s">
        <v>71</v>
      </c>
      <c r="D20" s="9" t="s">
        <v>72</v>
      </c>
      <c r="E20" s="9" t="s">
        <v>73</v>
      </c>
      <c r="F20" s="9" t="s">
        <v>75</v>
      </c>
    </row>
    <row r="21" spans="1:6" x14ac:dyDescent="0.25">
      <c r="B21" s="6" t="s">
        <v>81</v>
      </c>
      <c r="C21" s="6" t="s">
        <v>0</v>
      </c>
      <c r="D21" s="8">
        <v>54</v>
      </c>
      <c r="E21" s="8">
        <v>9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1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1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1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2</v>
      </c>
      <c r="E36" s="8">
        <v>3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2</v>
      </c>
      <c r="E38" s="8">
        <v>5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2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1</v>
      </c>
      <c r="E43" s="8">
        <v>10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1</v>
      </c>
      <c r="E44" s="8">
        <v>10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2</v>
      </c>
      <c r="E45" s="8">
        <v>100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1</v>
      </c>
      <c r="E46" s="8">
        <v>5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1</v>
      </c>
      <c r="E47" s="8">
        <v>5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1</v>
      </c>
      <c r="E48" s="8">
        <v>10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1</v>
      </c>
      <c r="E49" s="8">
        <v>3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3</v>
      </c>
      <c r="E50" s="8">
        <v>50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1</v>
      </c>
      <c r="E53" s="8">
        <v>10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1</v>
      </c>
      <c r="E55" s="8">
        <v>5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1</v>
      </c>
      <c r="E56" s="8">
        <v>5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5</v>
      </c>
      <c r="E59" s="8">
        <v>18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1</v>
      </c>
      <c r="E60" s="8">
        <v>5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1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3</v>
      </c>
      <c r="E62" s="8">
        <v>50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1</v>
      </c>
      <c r="E63" s="8">
        <v>3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1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3</v>
      </c>
      <c r="E65" s="8">
        <v>50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10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1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60</v>
      </c>
      <c r="E68" s="8">
        <v>1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2</v>
      </c>
      <c r="E69" s="8">
        <v>3</v>
      </c>
      <c r="F69" s="6" t="s">
        <v>75</v>
      </c>
    </row>
    <row r="70" spans="1:7" x14ac:dyDescent="0.25">
      <c r="B70" s="6" t="s">
        <v>229</v>
      </c>
      <c r="C70" s="6" t="s">
        <v>49</v>
      </c>
      <c r="D70" s="8">
        <v>3</v>
      </c>
      <c r="E70" s="8">
        <v>4</v>
      </c>
      <c r="F70" s="6" t="s">
        <v>75</v>
      </c>
    </row>
    <row r="71" spans="1:7" x14ac:dyDescent="0.25">
      <c r="B71" s="6" t="s">
        <v>405</v>
      </c>
      <c r="C71" s="6" t="s">
        <v>398</v>
      </c>
      <c r="D71" s="8">
        <v>3</v>
      </c>
      <c r="E71" s="8">
        <v>3</v>
      </c>
      <c r="F71" s="6" t="s">
        <v>75</v>
      </c>
    </row>
    <row r="72" spans="1:7" ht="15.75" thickBot="1" x14ac:dyDescent="0.3">
      <c r="B72" s="4" t="s">
        <v>406</v>
      </c>
      <c r="C72" s="4" t="s">
        <v>399</v>
      </c>
      <c r="D72" s="7">
        <v>5</v>
      </c>
      <c r="E72" s="7">
        <v>5</v>
      </c>
      <c r="F72" s="4" t="s">
        <v>75</v>
      </c>
    </row>
    <row r="75" spans="1:7" ht="15.75" thickBot="1" x14ac:dyDescent="0.3">
      <c r="A75" t="s">
        <v>51</v>
      </c>
    </row>
    <row r="76" spans="1:7" ht="15.75" thickBot="1" x14ac:dyDescent="0.3">
      <c r="B76" s="9" t="s">
        <v>70</v>
      </c>
      <c r="C76" s="9" t="s">
        <v>71</v>
      </c>
      <c r="D76" s="9" t="s">
        <v>76</v>
      </c>
      <c r="E76" s="9" t="s">
        <v>77</v>
      </c>
      <c r="F76" s="9" t="s">
        <v>78</v>
      </c>
      <c r="G76" s="9" t="s">
        <v>79</v>
      </c>
    </row>
    <row r="77" spans="1:7" x14ac:dyDescent="0.25">
      <c r="B77" s="6" t="s">
        <v>409</v>
      </c>
      <c r="C77" s="6" t="s">
        <v>57</v>
      </c>
      <c r="D77" s="8">
        <v>9</v>
      </c>
      <c r="E77" s="6" t="s">
        <v>410</v>
      </c>
      <c r="F77" s="6" t="s">
        <v>113</v>
      </c>
      <c r="G77" s="8">
        <v>4</v>
      </c>
    </row>
    <row r="78" spans="1:7" x14ac:dyDescent="0.25">
      <c r="B78" s="6" t="s">
        <v>411</v>
      </c>
      <c r="C78" s="6" t="s">
        <v>57</v>
      </c>
      <c r="D78" s="8">
        <v>5</v>
      </c>
      <c r="E78" s="6" t="s">
        <v>412</v>
      </c>
      <c r="F78" s="6" t="s">
        <v>126</v>
      </c>
      <c r="G78" s="8">
        <v>0</v>
      </c>
    </row>
    <row r="79" spans="1:7" x14ac:dyDescent="0.25">
      <c r="B79" s="6" t="s">
        <v>413</v>
      </c>
      <c r="C79" s="6" t="s">
        <v>57</v>
      </c>
      <c r="D79" s="8">
        <v>5</v>
      </c>
      <c r="E79" s="6" t="s">
        <v>414</v>
      </c>
      <c r="F79" s="6" t="s">
        <v>126</v>
      </c>
      <c r="G79" s="8">
        <v>0</v>
      </c>
    </row>
    <row r="80" spans="1:7" x14ac:dyDescent="0.25">
      <c r="B80" s="6" t="s">
        <v>415</v>
      </c>
      <c r="C80" s="6" t="s">
        <v>57</v>
      </c>
      <c r="D80" s="8">
        <v>4</v>
      </c>
      <c r="E80" s="6" t="s">
        <v>416</v>
      </c>
      <c r="F80" s="6" t="s">
        <v>126</v>
      </c>
      <c r="G80" s="8">
        <v>0</v>
      </c>
    </row>
    <row r="81" spans="2:7" x14ac:dyDescent="0.25">
      <c r="B81" s="6" t="s">
        <v>417</v>
      </c>
      <c r="C81" s="6" t="s">
        <v>57</v>
      </c>
      <c r="D81" s="8">
        <v>1</v>
      </c>
      <c r="E81" s="6" t="s">
        <v>418</v>
      </c>
      <c r="F81" s="6" t="s">
        <v>126</v>
      </c>
      <c r="G81" s="8">
        <v>0</v>
      </c>
    </row>
    <row r="82" spans="2:7" x14ac:dyDescent="0.25">
      <c r="B82" s="6" t="s">
        <v>419</v>
      </c>
      <c r="C82" s="6" t="s">
        <v>57</v>
      </c>
      <c r="D82" s="8">
        <v>4</v>
      </c>
      <c r="E82" s="6" t="s">
        <v>420</v>
      </c>
      <c r="F82" s="6" t="s">
        <v>126</v>
      </c>
      <c r="G82" s="8">
        <v>0</v>
      </c>
    </row>
    <row r="83" spans="2:7" x14ac:dyDescent="0.25">
      <c r="B83" s="6" t="s">
        <v>421</v>
      </c>
      <c r="C83" s="6" t="s">
        <v>57</v>
      </c>
      <c r="D83" s="8">
        <v>3</v>
      </c>
      <c r="E83" s="6" t="s">
        <v>422</v>
      </c>
      <c r="F83" s="6" t="s">
        <v>126</v>
      </c>
      <c r="G83" s="8">
        <v>0</v>
      </c>
    </row>
    <row r="84" spans="2:7" x14ac:dyDescent="0.25">
      <c r="B84" s="6" t="s">
        <v>423</v>
      </c>
      <c r="C84" s="6" t="s">
        <v>57</v>
      </c>
      <c r="D84" s="8">
        <v>3</v>
      </c>
      <c r="E84" s="6" t="s">
        <v>424</v>
      </c>
      <c r="F84" s="6" t="s">
        <v>126</v>
      </c>
      <c r="G84" s="8">
        <v>0</v>
      </c>
    </row>
    <row r="85" spans="2:7" x14ac:dyDescent="0.25">
      <c r="B85" s="6" t="s">
        <v>425</v>
      </c>
      <c r="C85" s="6" t="s">
        <v>57</v>
      </c>
      <c r="D85" s="8">
        <v>5</v>
      </c>
      <c r="E85" s="6" t="s">
        <v>426</v>
      </c>
      <c r="F85" s="6" t="s">
        <v>126</v>
      </c>
      <c r="G85" s="8">
        <v>0</v>
      </c>
    </row>
    <row r="86" spans="2:7" x14ac:dyDescent="0.25">
      <c r="B86" s="6" t="s">
        <v>427</v>
      </c>
      <c r="C86" s="6" t="s">
        <v>57</v>
      </c>
      <c r="D86" s="8">
        <v>1</v>
      </c>
      <c r="E86" s="6" t="s">
        <v>428</v>
      </c>
      <c r="F86" s="6" t="s">
        <v>126</v>
      </c>
      <c r="G86" s="8">
        <v>0</v>
      </c>
    </row>
    <row r="87" spans="2:7" x14ac:dyDescent="0.25">
      <c r="B87" s="6" t="s">
        <v>429</v>
      </c>
      <c r="C87" s="6" t="s">
        <v>57</v>
      </c>
      <c r="D87" s="8">
        <v>5</v>
      </c>
      <c r="E87" s="6" t="s">
        <v>430</v>
      </c>
      <c r="F87" s="6" t="s">
        <v>126</v>
      </c>
      <c r="G87" s="8">
        <v>0</v>
      </c>
    </row>
    <row r="88" spans="2:7" x14ac:dyDescent="0.25">
      <c r="B88" s="6" t="s">
        <v>431</v>
      </c>
      <c r="C88" s="6" t="s">
        <v>57</v>
      </c>
      <c r="D88" s="8">
        <v>3</v>
      </c>
      <c r="E88" s="6" t="s">
        <v>432</v>
      </c>
      <c r="F88" s="6" t="s">
        <v>126</v>
      </c>
      <c r="G88" s="8">
        <v>0</v>
      </c>
    </row>
    <row r="89" spans="2:7" x14ac:dyDescent="0.25">
      <c r="B89" s="6" t="s">
        <v>433</v>
      </c>
      <c r="C89" s="6" t="s">
        <v>57</v>
      </c>
      <c r="D89" s="8">
        <v>5</v>
      </c>
      <c r="E89" s="6" t="s">
        <v>434</v>
      </c>
      <c r="F89" s="6" t="s">
        <v>126</v>
      </c>
      <c r="G89" s="8">
        <v>0</v>
      </c>
    </row>
    <row r="90" spans="2:7" x14ac:dyDescent="0.25">
      <c r="B90" s="6" t="s">
        <v>435</v>
      </c>
      <c r="C90" s="6" t="s">
        <v>57</v>
      </c>
      <c r="D90" s="8">
        <v>2</v>
      </c>
      <c r="E90" s="6" t="s">
        <v>436</v>
      </c>
      <c r="F90" s="6" t="s">
        <v>113</v>
      </c>
      <c r="G90" s="8">
        <v>1</v>
      </c>
    </row>
    <row r="91" spans="2:7" x14ac:dyDescent="0.25">
      <c r="B91" s="6" t="s">
        <v>437</v>
      </c>
      <c r="C91" s="6" t="s">
        <v>57</v>
      </c>
      <c r="D91" s="8">
        <v>2</v>
      </c>
      <c r="E91" s="6" t="s">
        <v>438</v>
      </c>
      <c r="F91" s="6" t="s">
        <v>113</v>
      </c>
      <c r="G91" s="8">
        <v>1</v>
      </c>
    </row>
    <row r="92" spans="2:7" x14ac:dyDescent="0.25">
      <c r="B92" s="6" t="s">
        <v>439</v>
      </c>
      <c r="C92" s="6" t="s">
        <v>57</v>
      </c>
      <c r="D92" s="8">
        <v>3</v>
      </c>
      <c r="E92" s="6" t="s">
        <v>440</v>
      </c>
      <c r="F92" s="6" t="s">
        <v>113</v>
      </c>
      <c r="G92" s="8">
        <v>1</v>
      </c>
    </row>
    <row r="93" spans="2:7" x14ac:dyDescent="0.25">
      <c r="B93" s="6" t="s">
        <v>441</v>
      </c>
      <c r="C93" s="6" t="s">
        <v>57</v>
      </c>
      <c r="D93" s="8">
        <v>20</v>
      </c>
      <c r="E93" s="6" t="s">
        <v>442</v>
      </c>
      <c r="F93" s="6" t="s">
        <v>126</v>
      </c>
      <c r="G93" s="8">
        <v>0</v>
      </c>
    </row>
    <row r="94" spans="2:7" x14ac:dyDescent="0.25">
      <c r="B94" s="6" t="s">
        <v>443</v>
      </c>
      <c r="C94" s="6" t="s">
        <v>57</v>
      </c>
      <c r="D94" s="8">
        <v>5</v>
      </c>
      <c r="E94" s="6" t="s">
        <v>444</v>
      </c>
      <c r="F94" s="6" t="s">
        <v>113</v>
      </c>
      <c r="G94" s="8">
        <v>3</v>
      </c>
    </row>
    <row r="95" spans="2:7" x14ac:dyDescent="0.25">
      <c r="B95" s="6" t="s">
        <v>445</v>
      </c>
      <c r="C95" s="6" t="s">
        <v>57</v>
      </c>
      <c r="D95" s="8">
        <v>5</v>
      </c>
      <c r="E95" s="6" t="s">
        <v>446</v>
      </c>
      <c r="F95" s="6" t="s">
        <v>126</v>
      </c>
      <c r="G95" s="8">
        <v>0</v>
      </c>
    </row>
    <row r="96" spans="2:7" x14ac:dyDescent="0.25">
      <c r="B96" s="6" t="s">
        <v>447</v>
      </c>
      <c r="C96" s="6" t="s">
        <v>57</v>
      </c>
      <c r="D96" s="8">
        <v>6</v>
      </c>
      <c r="E96" s="6" t="s">
        <v>448</v>
      </c>
      <c r="F96" s="6" t="s">
        <v>126</v>
      </c>
      <c r="G96" s="8">
        <v>0</v>
      </c>
    </row>
    <row r="97" spans="2:7" x14ac:dyDescent="0.25">
      <c r="B97" s="6" t="s">
        <v>449</v>
      </c>
      <c r="C97" s="6" t="s">
        <v>57</v>
      </c>
      <c r="D97" s="8">
        <v>2</v>
      </c>
      <c r="E97" s="6" t="s">
        <v>450</v>
      </c>
      <c r="F97" s="6" t="s">
        <v>126</v>
      </c>
      <c r="G97" s="8">
        <v>0</v>
      </c>
    </row>
    <row r="98" spans="2:7" x14ac:dyDescent="0.25">
      <c r="B98" s="6" t="s">
        <v>451</v>
      </c>
      <c r="C98" s="6" t="s">
        <v>57</v>
      </c>
      <c r="D98" s="8">
        <v>4</v>
      </c>
      <c r="E98" s="6" t="s">
        <v>452</v>
      </c>
      <c r="F98" s="6" t="s">
        <v>126</v>
      </c>
      <c r="G98" s="8">
        <v>0</v>
      </c>
    </row>
    <row r="99" spans="2:7" x14ac:dyDescent="0.25">
      <c r="B99" s="6" t="s">
        <v>453</v>
      </c>
      <c r="C99" s="6" t="s">
        <v>57</v>
      </c>
      <c r="D99" s="8">
        <v>10</v>
      </c>
      <c r="E99" s="6" t="s">
        <v>454</v>
      </c>
      <c r="F99" s="6" t="s">
        <v>113</v>
      </c>
      <c r="G99" s="8">
        <v>9</v>
      </c>
    </row>
    <row r="100" spans="2:7" x14ac:dyDescent="0.25">
      <c r="B100" s="6" t="s">
        <v>455</v>
      </c>
      <c r="C100" s="6" t="s">
        <v>57</v>
      </c>
      <c r="D100" s="8">
        <v>10</v>
      </c>
      <c r="E100" s="6" t="s">
        <v>456</v>
      </c>
      <c r="F100" s="6" t="s">
        <v>113</v>
      </c>
      <c r="G100" s="8">
        <v>9</v>
      </c>
    </row>
    <row r="101" spans="2:7" x14ac:dyDescent="0.25">
      <c r="B101" s="6" t="s">
        <v>457</v>
      </c>
      <c r="C101" s="6" t="s">
        <v>57</v>
      </c>
      <c r="D101" s="8">
        <v>100</v>
      </c>
      <c r="E101" s="6" t="s">
        <v>458</v>
      </c>
      <c r="F101" s="6" t="s">
        <v>113</v>
      </c>
      <c r="G101" s="8">
        <v>98</v>
      </c>
    </row>
    <row r="102" spans="2:7" x14ac:dyDescent="0.25">
      <c r="B102" s="6" t="s">
        <v>459</v>
      </c>
      <c r="C102" s="6" t="s">
        <v>57</v>
      </c>
      <c r="D102" s="8">
        <v>5</v>
      </c>
      <c r="E102" s="6" t="s">
        <v>460</v>
      </c>
      <c r="F102" s="6" t="s">
        <v>113</v>
      </c>
      <c r="G102" s="8">
        <v>4</v>
      </c>
    </row>
    <row r="103" spans="2:7" x14ac:dyDescent="0.25">
      <c r="B103" s="6" t="s">
        <v>461</v>
      </c>
      <c r="C103" s="6" t="s">
        <v>57</v>
      </c>
      <c r="D103" s="8">
        <v>5</v>
      </c>
      <c r="E103" s="6" t="s">
        <v>462</v>
      </c>
      <c r="F103" s="6" t="s">
        <v>113</v>
      </c>
      <c r="G103" s="8">
        <v>4</v>
      </c>
    </row>
    <row r="104" spans="2:7" x14ac:dyDescent="0.25">
      <c r="B104" s="6" t="s">
        <v>463</v>
      </c>
      <c r="C104" s="6" t="s">
        <v>57</v>
      </c>
      <c r="D104" s="8">
        <v>10</v>
      </c>
      <c r="E104" s="6" t="s">
        <v>464</v>
      </c>
      <c r="F104" s="6" t="s">
        <v>113</v>
      </c>
      <c r="G104" s="8">
        <v>9</v>
      </c>
    </row>
    <row r="105" spans="2:7" x14ac:dyDescent="0.25">
      <c r="B105" s="6" t="s">
        <v>465</v>
      </c>
      <c r="C105" s="6" t="s">
        <v>57</v>
      </c>
      <c r="D105" s="8">
        <v>3</v>
      </c>
      <c r="E105" s="6" t="s">
        <v>466</v>
      </c>
      <c r="F105" s="6" t="s">
        <v>113</v>
      </c>
      <c r="G105" s="8">
        <v>2</v>
      </c>
    </row>
    <row r="106" spans="2:7" x14ac:dyDescent="0.25">
      <c r="B106" s="6" t="s">
        <v>467</v>
      </c>
      <c r="C106" s="6" t="s">
        <v>57</v>
      </c>
      <c r="D106" s="8">
        <v>50</v>
      </c>
      <c r="E106" s="6" t="s">
        <v>468</v>
      </c>
      <c r="F106" s="6" t="s">
        <v>113</v>
      </c>
      <c r="G106" s="8">
        <v>47</v>
      </c>
    </row>
    <row r="107" spans="2:7" x14ac:dyDescent="0.25">
      <c r="B107" s="6" t="s">
        <v>469</v>
      </c>
      <c r="C107" s="6" t="s">
        <v>57</v>
      </c>
      <c r="D107" s="8">
        <v>5</v>
      </c>
      <c r="E107" s="6" t="s">
        <v>470</v>
      </c>
      <c r="F107" s="6" t="s">
        <v>126</v>
      </c>
      <c r="G107" s="8">
        <v>0</v>
      </c>
    </row>
    <row r="108" spans="2:7" x14ac:dyDescent="0.25">
      <c r="B108" s="6" t="s">
        <v>471</v>
      </c>
      <c r="C108" s="6" t="s">
        <v>57</v>
      </c>
      <c r="D108" s="8">
        <v>10</v>
      </c>
      <c r="E108" s="6" t="s">
        <v>472</v>
      </c>
      <c r="F108" s="6" t="s">
        <v>113</v>
      </c>
      <c r="G108" s="8">
        <v>9</v>
      </c>
    </row>
    <row r="109" spans="2:7" x14ac:dyDescent="0.25">
      <c r="B109" s="6" t="s">
        <v>473</v>
      </c>
      <c r="C109" s="6" t="s">
        <v>57</v>
      </c>
      <c r="D109" s="8">
        <v>10</v>
      </c>
      <c r="E109" s="6" t="s">
        <v>474</v>
      </c>
      <c r="F109" s="6" t="s">
        <v>113</v>
      </c>
      <c r="G109" s="8">
        <v>9</v>
      </c>
    </row>
    <row r="110" spans="2:7" x14ac:dyDescent="0.25">
      <c r="B110" s="6" t="s">
        <v>475</v>
      </c>
      <c r="C110" s="6" t="s">
        <v>57</v>
      </c>
      <c r="D110" s="8">
        <v>5</v>
      </c>
      <c r="E110" s="6" t="s">
        <v>476</v>
      </c>
      <c r="F110" s="6" t="s">
        <v>126</v>
      </c>
      <c r="G110" s="8">
        <v>0</v>
      </c>
    </row>
    <row r="111" spans="2:7" x14ac:dyDescent="0.25">
      <c r="B111" s="6" t="s">
        <v>477</v>
      </c>
      <c r="C111" s="6" t="s">
        <v>57</v>
      </c>
      <c r="D111" s="8">
        <v>5</v>
      </c>
      <c r="E111" s="6" t="s">
        <v>478</v>
      </c>
      <c r="F111" s="6" t="s">
        <v>113</v>
      </c>
      <c r="G111" s="8">
        <v>4</v>
      </c>
    </row>
    <row r="112" spans="2:7" x14ac:dyDescent="0.25">
      <c r="B112" s="6" t="s">
        <v>479</v>
      </c>
      <c r="C112" s="6" t="s">
        <v>57</v>
      </c>
      <c r="D112" s="8">
        <v>5</v>
      </c>
      <c r="E112" s="6" t="s">
        <v>480</v>
      </c>
      <c r="F112" s="6" t="s">
        <v>113</v>
      </c>
      <c r="G112" s="8">
        <v>4</v>
      </c>
    </row>
    <row r="113" spans="2:7" x14ac:dyDescent="0.25">
      <c r="B113" s="6" t="s">
        <v>481</v>
      </c>
      <c r="C113" s="6" t="s">
        <v>57</v>
      </c>
      <c r="D113" s="8">
        <v>5</v>
      </c>
      <c r="E113" s="6" t="s">
        <v>482</v>
      </c>
      <c r="F113" s="6" t="s">
        <v>126</v>
      </c>
      <c r="G113" s="8">
        <v>0</v>
      </c>
    </row>
    <row r="114" spans="2:7" x14ac:dyDescent="0.25">
      <c r="B114" s="6" t="s">
        <v>483</v>
      </c>
      <c r="C114" s="6" t="s">
        <v>57</v>
      </c>
      <c r="D114" s="8">
        <v>5</v>
      </c>
      <c r="E114" s="6" t="s">
        <v>484</v>
      </c>
      <c r="F114" s="6" t="s">
        <v>126</v>
      </c>
      <c r="G114" s="8">
        <v>0</v>
      </c>
    </row>
    <row r="115" spans="2:7" x14ac:dyDescent="0.25">
      <c r="B115" s="6" t="s">
        <v>485</v>
      </c>
      <c r="C115" s="6" t="s">
        <v>57</v>
      </c>
      <c r="D115" s="8">
        <v>18</v>
      </c>
      <c r="E115" s="6" t="s">
        <v>486</v>
      </c>
      <c r="F115" s="6" t="s">
        <v>113</v>
      </c>
      <c r="G115" s="8">
        <v>13</v>
      </c>
    </row>
    <row r="116" spans="2:7" x14ac:dyDescent="0.25">
      <c r="B116" s="6" t="s">
        <v>487</v>
      </c>
      <c r="C116" s="6" t="s">
        <v>57</v>
      </c>
      <c r="D116" s="8">
        <v>5</v>
      </c>
      <c r="E116" s="6" t="s">
        <v>488</v>
      </c>
      <c r="F116" s="6" t="s">
        <v>113</v>
      </c>
      <c r="G116" s="8">
        <v>4</v>
      </c>
    </row>
    <row r="117" spans="2:7" x14ac:dyDescent="0.25">
      <c r="B117" s="6" t="s">
        <v>489</v>
      </c>
      <c r="C117" s="6" t="s">
        <v>57</v>
      </c>
      <c r="D117" s="8">
        <v>2</v>
      </c>
      <c r="E117" s="6" t="s">
        <v>490</v>
      </c>
      <c r="F117" s="6" t="s">
        <v>113</v>
      </c>
      <c r="G117" s="8">
        <v>1</v>
      </c>
    </row>
    <row r="118" spans="2:7" x14ac:dyDescent="0.25">
      <c r="B118" s="6" t="s">
        <v>491</v>
      </c>
      <c r="C118" s="6" t="s">
        <v>57</v>
      </c>
      <c r="D118" s="8">
        <v>50</v>
      </c>
      <c r="E118" s="6" t="s">
        <v>492</v>
      </c>
      <c r="F118" s="6" t="s">
        <v>113</v>
      </c>
      <c r="G118" s="8">
        <v>47</v>
      </c>
    </row>
    <row r="119" spans="2:7" x14ac:dyDescent="0.25">
      <c r="B119" s="6" t="s">
        <v>493</v>
      </c>
      <c r="C119" s="6" t="s">
        <v>57</v>
      </c>
      <c r="D119" s="8">
        <v>3</v>
      </c>
      <c r="E119" s="6" t="s">
        <v>494</v>
      </c>
      <c r="F119" s="6" t="s">
        <v>113</v>
      </c>
      <c r="G119" s="8">
        <v>2</v>
      </c>
    </row>
    <row r="120" spans="2:7" x14ac:dyDescent="0.25">
      <c r="B120" s="6" t="s">
        <v>495</v>
      </c>
      <c r="C120" s="6" t="s">
        <v>57</v>
      </c>
      <c r="D120" s="8">
        <v>2</v>
      </c>
      <c r="E120" s="6" t="s">
        <v>496</v>
      </c>
      <c r="F120" s="6" t="s">
        <v>113</v>
      </c>
      <c r="G120" s="8">
        <v>1</v>
      </c>
    </row>
    <row r="121" spans="2:7" x14ac:dyDescent="0.25">
      <c r="B121" s="6" t="s">
        <v>497</v>
      </c>
      <c r="C121" s="6" t="s">
        <v>57</v>
      </c>
      <c r="D121" s="8">
        <v>50</v>
      </c>
      <c r="E121" s="6" t="s">
        <v>498</v>
      </c>
      <c r="F121" s="6" t="s">
        <v>113</v>
      </c>
      <c r="G121" s="8">
        <v>47</v>
      </c>
    </row>
    <row r="122" spans="2:7" x14ac:dyDescent="0.25">
      <c r="B122" s="6" t="s">
        <v>499</v>
      </c>
      <c r="C122" s="6" t="s">
        <v>57</v>
      </c>
      <c r="D122" s="8">
        <v>10</v>
      </c>
      <c r="E122" s="6" t="s">
        <v>500</v>
      </c>
      <c r="F122" s="6" t="s">
        <v>126</v>
      </c>
      <c r="G122" s="8">
        <v>0</v>
      </c>
    </row>
    <row r="123" spans="2:7" x14ac:dyDescent="0.25">
      <c r="B123" s="6" t="s">
        <v>501</v>
      </c>
      <c r="C123" s="6" t="s">
        <v>57</v>
      </c>
      <c r="D123" s="8">
        <v>2</v>
      </c>
      <c r="E123" s="6" t="s">
        <v>502</v>
      </c>
      <c r="F123" s="6" t="s">
        <v>113</v>
      </c>
      <c r="G123" s="8">
        <v>1</v>
      </c>
    </row>
    <row r="124" spans="2:7" x14ac:dyDescent="0.25">
      <c r="B124" s="6" t="s">
        <v>503</v>
      </c>
      <c r="C124" s="6" t="s">
        <v>57</v>
      </c>
      <c r="D124" s="8">
        <v>1</v>
      </c>
      <c r="E124" s="6" t="s">
        <v>504</v>
      </c>
      <c r="F124" s="6" t="s">
        <v>126</v>
      </c>
      <c r="G124" s="8">
        <v>0</v>
      </c>
    </row>
    <row r="125" spans="2:7" x14ac:dyDescent="0.25">
      <c r="B125" s="6" t="s">
        <v>505</v>
      </c>
      <c r="C125" s="6" t="s">
        <v>57</v>
      </c>
      <c r="D125" s="8">
        <v>3</v>
      </c>
      <c r="E125" s="6" t="s">
        <v>506</v>
      </c>
      <c r="F125" s="6" t="s">
        <v>113</v>
      </c>
      <c r="G125" s="8">
        <v>1</v>
      </c>
    </row>
    <row r="126" spans="2:7" x14ac:dyDescent="0.25">
      <c r="B126" s="6" t="s">
        <v>507</v>
      </c>
      <c r="C126" s="6" t="s">
        <v>57</v>
      </c>
      <c r="D126" s="8">
        <v>4</v>
      </c>
      <c r="E126" s="6" t="s">
        <v>508</v>
      </c>
      <c r="F126" s="6" t="s">
        <v>113</v>
      </c>
      <c r="G126" s="8">
        <v>1</v>
      </c>
    </row>
    <row r="127" spans="2:7" x14ac:dyDescent="0.25">
      <c r="B127" s="6" t="s">
        <v>509</v>
      </c>
      <c r="C127" s="6" t="s">
        <v>57</v>
      </c>
      <c r="D127" s="8">
        <v>3</v>
      </c>
      <c r="E127" s="6" t="s">
        <v>510</v>
      </c>
      <c r="F127" s="6" t="s">
        <v>126</v>
      </c>
      <c r="G127" s="8">
        <v>0</v>
      </c>
    </row>
    <row r="128" spans="2:7" x14ac:dyDescent="0.25">
      <c r="B128" s="6" t="s">
        <v>511</v>
      </c>
      <c r="C128" s="6" t="s">
        <v>57</v>
      </c>
      <c r="D128" s="8">
        <v>5</v>
      </c>
      <c r="E128" s="6" t="s">
        <v>512</v>
      </c>
      <c r="F128" s="6" t="s">
        <v>126</v>
      </c>
      <c r="G128" s="8">
        <v>0</v>
      </c>
    </row>
    <row r="129" spans="2:7" x14ac:dyDescent="0.25">
      <c r="B129" s="6" t="s">
        <v>517</v>
      </c>
      <c r="C129" s="6" t="s">
        <v>57</v>
      </c>
      <c r="D129" s="8">
        <v>1</v>
      </c>
      <c r="E129" s="6" t="s">
        <v>518</v>
      </c>
      <c r="F129" s="6" t="s">
        <v>113</v>
      </c>
      <c r="G129" s="6">
        <v>1</v>
      </c>
    </row>
    <row r="130" spans="2:7" x14ac:dyDescent="0.25">
      <c r="B130" s="6" t="s">
        <v>519</v>
      </c>
      <c r="C130" s="6" t="s">
        <v>57</v>
      </c>
      <c r="D130" s="8">
        <v>1</v>
      </c>
      <c r="E130" s="6" t="s">
        <v>520</v>
      </c>
      <c r="F130" s="6" t="s">
        <v>113</v>
      </c>
      <c r="G130" s="6">
        <v>1</v>
      </c>
    </row>
    <row r="131" spans="2:7" x14ac:dyDescent="0.25">
      <c r="B131" s="6" t="s">
        <v>521</v>
      </c>
      <c r="C131" s="6" t="s">
        <v>57</v>
      </c>
      <c r="D131" s="8">
        <v>2</v>
      </c>
      <c r="E131" s="6" t="s">
        <v>522</v>
      </c>
      <c r="F131" s="6" t="s">
        <v>126</v>
      </c>
      <c r="G131" s="6">
        <v>0</v>
      </c>
    </row>
    <row r="132" spans="2:7" x14ac:dyDescent="0.25">
      <c r="B132" s="6" t="s">
        <v>523</v>
      </c>
      <c r="C132" s="6" t="s">
        <v>57</v>
      </c>
      <c r="D132" s="8">
        <v>2</v>
      </c>
      <c r="E132" s="6" t="s">
        <v>524</v>
      </c>
      <c r="F132" s="6" t="s">
        <v>126</v>
      </c>
      <c r="G132" s="6">
        <v>0</v>
      </c>
    </row>
    <row r="133" spans="2:7" x14ac:dyDescent="0.25">
      <c r="B133" s="6" t="s">
        <v>525</v>
      </c>
      <c r="C133" s="6" t="s">
        <v>57</v>
      </c>
      <c r="D133" s="8">
        <v>3</v>
      </c>
      <c r="E133" s="6" t="s">
        <v>526</v>
      </c>
      <c r="F133" s="6" t="s">
        <v>113</v>
      </c>
      <c r="G133" s="6">
        <v>2</v>
      </c>
    </row>
    <row r="134" spans="2:7" x14ac:dyDescent="0.25">
      <c r="B134" s="6" t="s">
        <v>527</v>
      </c>
      <c r="C134" s="6" t="s">
        <v>57</v>
      </c>
      <c r="D134" s="8">
        <v>20</v>
      </c>
      <c r="E134" s="6" t="s">
        <v>528</v>
      </c>
      <c r="F134" s="6" t="s">
        <v>113</v>
      </c>
      <c r="G134" s="6">
        <v>80</v>
      </c>
    </row>
    <row r="135" spans="2:7" x14ac:dyDescent="0.25">
      <c r="B135" s="6" t="s">
        <v>529</v>
      </c>
      <c r="C135" s="6" t="s">
        <v>57</v>
      </c>
      <c r="D135" s="8">
        <v>5</v>
      </c>
      <c r="E135" s="6" t="s">
        <v>530</v>
      </c>
      <c r="F135" s="6" t="s">
        <v>126</v>
      </c>
      <c r="G135" s="6">
        <v>0</v>
      </c>
    </row>
    <row r="136" spans="2:7" x14ac:dyDescent="0.25">
      <c r="B136" s="6" t="s">
        <v>531</v>
      </c>
      <c r="C136" s="6" t="s">
        <v>57</v>
      </c>
      <c r="D136" s="8">
        <v>5</v>
      </c>
      <c r="E136" s="6" t="s">
        <v>532</v>
      </c>
      <c r="F136" s="6" t="s">
        <v>113</v>
      </c>
      <c r="G136" s="6">
        <v>5</v>
      </c>
    </row>
    <row r="137" spans="2:7" x14ac:dyDescent="0.25">
      <c r="B137" s="6" t="s">
        <v>533</v>
      </c>
      <c r="C137" s="6" t="s">
        <v>57</v>
      </c>
      <c r="D137" s="8">
        <v>6</v>
      </c>
      <c r="E137" s="6" t="s">
        <v>534</v>
      </c>
      <c r="F137" s="6" t="s">
        <v>113</v>
      </c>
      <c r="G137" s="6">
        <v>94</v>
      </c>
    </row>
    <row r="138" spans="2:7" x14ac:dyDescent="0.25">
      <c r="B138" s="6" t="s">
        <v>535</v>
      </c>
      <c r="C138" s="6" t="s">
        <v>57</v>
      </c>
      <c r="D138" s="8">
        <v>2</v>
      </c>
      <c r="E138" s="6" t="s">
        <v>536</v>
      </c>
      <c r="F138" s="6" t="s">
        <v>113</v>
      </c>
      <c r="G138" s="6">
        <v>98</v>
      </c>
    </row>
    <row r="139" spans="2:7" x14ac:dyDescent="0.25">
      <c r="B139" s="6" t="s">
        <v>537</v>
      </c>
      <c r="C139" s="6" t="s">
        <v>57</v>
      </c>
      <c r="D139" s="8">
        <v>4</v>
      </c>
      <c r="E139" s="6" t="s">
        <v>538</v>
      </c>
      <c r="F139" s="6" t="s">
        <v>113</v>
      </c>
      <c r="G139" s="6">
        <v>96</v>
      </c>
    </row>
    <row r="140" spans="2:7" x14ac:dyDescent="0.25">
      <c r="B140" s="6" t="s">
        <v>539</v>
      </c>
      <c r="C140" s="6" t="s">
        <v>57</v>
      </c>
      <c r="D140" s="8">
        <v>10</v>
      </c>
      <c r="E140" s="6" t="s">
        <v>540</v>
      </c>
      <c r="F140" s="6" t="s">
        <v>126</v>
      </c>
      <c r="G140" s="6">
        <v>0</v>
      </c>
    </row>
    <row r="141" spans="2:7" x14ac:dyDescent="0.25">
      <c r="B141" s="6" t="s">
        <v>541</v>
      </c>
      <c r="C141" s="6" t="s">
        <v>57</v>
      </c>
      <c r="D141" s="8">
        <v>10</v>
      </c>
      <c r="E141" s="6" t="s">
        <v>542</v>
      </c>
      <c r="F141" s="6" t="s">
        <v>126</v>
      </c>
      <c r="G141" s="6">
        <v>0</v>
      </c>
    </row>
    <row r="142" spans="2:7" x14ac:dyDescent="0.25">
      <c r="B142" s="6" t="s">
        <v>543</v>
      </c>
      <c r="C142" s="6" t="s">
        <v>57</v>
      </c>
      <c r="D142" s="8">
        <v>100</v>
      </c>
      <c r="E142" s="6" t="s">
        <v>544</v>
      </c>
      <c r="F142" s="6" t="s">
        <v>126</v>
      </c>
      <c r="G142" s="6">
        <v>0</v>
      </c>
    </row>
    <row r="143" spans="2:7" x14ac:dyDescent="0.25">
      <c r="B143" s="6" t="s">
        <v>545</v>
      </c>
      <c r="C143" s="6" t="s">
        <v>57</v>
      </c>
      <c r="D143" s="8">
        <v>5</v>
      </c>
      <c r="E143" s="6" t="s">
        <v>546</v>
      </c>
      <c r="F143" s="6" t="s">
        <v>126</v>
      </c>
      <c r="G143" s="6">
        <v>0</v>
      </c>
    </row>
    <row r="144" spans="2:7" x14ac:dyDescent="0.25">
      <c r="B144" s="6" t="s">
        <v>547</v>
      </c>
      <c r="C144" s="6" t="s">
        <v>57</v>
      </c>
      <c r="D144" s="8">
        <v>5</v>
      </c>
      <c r="E144" s="6" t="s">
        <v>548</v>
      </c>
      <c r="F144" s="6" t="s">
        <v>126</v>
      </c>
      <c r="G144" s="6">
        <v>0</v>
      </c>
    </row>
    <row r="145" spans="2:7" x14ac:dyDescent="0.25">
      <c r="B145" s="6" t="s">
        <v>549</v>
      </c>
      <c r="C145" s="6" t="s">
        <v>57</v>
      </c>
      <c r="D145" s="8">
        <v>10</v>
      </c>
      <c r="E145" s="6" t="s">
        <v>550</v>
      </c>
      <c r="F145" s="6" t="s">
        <v>126</v>
      </c>
      <c r="G145" s="6">
        <v>0</v>
      </c>
    </row>
    <row r="146" spans="2:7" x14ac:dyDescent="0.25">
      <c r="B146" s="6" t="s">
        <v>551</v>
      </c>
      <c r="C146" s="6" t="s">
        <v>57</v>
      </c>
      <c r="D146" s="8">
        <v>3</v>
      </c>
      <c r="E146" s="6" t="s">
        <v>552</v>
      </c>
      <c r="F146" s="6" t="s">
        <v>126</v>
      </c>
      <c r="G146" s="6">
        <v>0</v>
      </c>
    </row>
    <row r="147" spans="2:7" x14ac:dyDescent="0.25">
      <c r="B147" s="6" t="s">
        <v>553</v>
      </c>
      <c r="C147" s="6" t="s">
        <v>57</v>
      </c>
      <c r="D147" s="8">
        <v>50</v>
      </c>
      <c r="E147" s="6" t="s">
        <v>554</v>
      </c>
      <c r="F147" s="6" t="s">
        <v>126</v>
      </c>
      <c r="G147" s="6">
        <v>0</v>
      </c>
    </row>
    <row r="148" spans="2:7" x14ac:dyDescent="0.25">
      <c r="B148" s="6" t="s">
        <v>555</v>
      </c>
      <c r="C148" s="6" t="s">
        <v>57</v>
      </c>
      <c r="D148" s="8">
        <v>5</v>
      </c>
      <c r="E148" s="6" t="s">
        <v>556</v>
      </c>
      <c r="F148" s="6" t="s">
        <v>113</v>
      </c>
      <c r="G148" s="6">
        <v>95</v>
      </c>
    </row>
    <row r="149" spans="2:7" x14ac:dyDescent="0.25">
      <c r="B149" s="6" t="s">
        <v>557</v>
      </c>
      <c r="C149" s="6" t="s">
        <v>57</v>
      </c>
      <c r="D149" s="8">
        <v>10</v>
      </c>
      <c r="E149" s="6" t="s">
        <v>558</v>
      </c>
      <c r="F149" s="6" t="s">
        <v>126</v>
      </c>
      <c r="G149" s="6">
        <v>0</v>
      </c>
    </row>
    <row r="150" spans="2:7" x14ac:dyDescent="0.25">
      <c r="B150" s="6" t="s">
        <v>559</v>
      </c>
      <c r="C150" s="6" t="s">
        <v>57</v>
      </c>
      <c r="D150" s="8">
        <v>10</v>
      </c>
      <c r="E150" s="6" t="s">
        <v>560</v>
      </c>
      <c r="F150" s="6" t="s">
        <v>126</v>
      </c>
      <c r="G150" s="6">
        <v>0</v>
      </c>
    </row>
    <row r="151" spans="2:7" x14ac:dyDescent="0.25">
      <c r="B151" s="6" t="s">
        <v>561</v>
      </c>
      <c r="C151" s="6" t="s">
        <v>57</v>
      </c>
      <c r="D151" s="8">
        <v>5</v>
      </c>
      <c r="E151" s="6" t="s">
        <v>562</v>
      </c>
      <c r="F151" s="6" t="s">
        <v>113</v>
      </c>
      <c r="G151" s="6">
        <v>45</v>
      </c>
    </row>
    <row r="152" spans="2:7" x14ac:dyDescent="0.25">
      <c r="B152" s="6" t="s">
        <v>563</v>
      </c>
      <c r="C152" s="6" t="s">
        <v>57</v>
      </c>
      <c r="D152" s="8">
        <v>5</v>
      </c>
      <c r="E152" s="6" t="s">
        <v>564</v>
      </c>
      <c r="F152" s="6" t="s">
        <v>126</v>
      </c>
      <c r="G152" s="6">
        <v>0</v>
      </c>
    </row>
    <row r="153" spans="2:7" x14ac:dyDescent="0.25">
      <c r="B153" s="6" t="s">
        <v>565</v>
      </c>
      <c r="C153" s="6" t="s">
        <v>57</v>
      </c>
      <c r="D153" s="8">
        <v>5</v>
      </c>
      <c r="E153" s="6" t="s">
        <v>566</v>
      </c>
      <c r="F153" s="6" t="s">
        <v>126</v>
      </c>
      <c r="G153" s="6">
        <v>0</v>
      </c>
    </row>
    <row r="154" spans="2:7" x14ac:dyDescent="0.25">
      <c r="B154" s="6" t="s">
        <v>567</v>
      </c>
      <c r="C154" s="6" t="s">
        <v>57</v>
      </c>
      <c r="D154" s="8">
        <v>5</v>
      </c>
      <c r="E154" s="6" t="s">
        <v>568</v>
      </c>
      <c r="F154" s="6" t="s">
        <v>113</v>
      </c>
      <c r="G154" s="6">
        <v>95</v>
      </c>
    </row>
    <row r="155" spans="2:7" x14ac:dyDescent="0.25">
      <c r="B155" s="6" t="s">
        <v>569</v>
      </c>
      <c r="C155" s="6" t="s">
        <v>57</v>
      </c>
      <c r="D155" s="8">
        <v>5</v>
      </c>
      <c r="E155" s="6" t="s">
        <v>570</v>
      </c>
      <c r="F155" s="6" t="s">
        <v>113</v>
      </c>
      <c r="G155" s="6">
        <v>15</v>
      </c>
    </row>
    <row r="156" spans="2:7" x14ac:dyDescent="0.25">
      <c r="B156" s="6" t="s">
        <v>571</v>
      </c>
      <c r="C156" s="6" t="s">
        <v>57</v>
      </c>
      <c r="D156" s="8">
        <v>18</v>
      </c>
      <c r="E156" s="6" t="s">
        <v>572</v>
      </c>
      <c r="F156" s="6" t="s">
        <v>113</v>
      </c>
      <c r="G156" s="6">
        <v>2</v>
      </c>
    </row>
    <row r="157" spans="2:7" x14ac:dyDescent="0.25">
      <c r="B157" s="6" t="s">
        <v>573</v>
      </c>
      <c r="C157" s="6" t="s">
        <v>57</v>
      </c>
      <c r="D157" s="8">
        <v>5</v>
      </c>
      <c r="E157" s="6" t="s">
        <v>574</v>
      </c>
      <c r="F157" s="6" t="s">
        <v>126</v>
      </c>
      <c r="G157" s="6">
        <v>0</v>
      </c>
    </row>
    <row r="158" spans="2:7" x14ac:dyDescent="0.25">
      <c r="B158" s="6" t="s">
        <v>575</v>
      </c>
      <c r="C158" s="6" t="s">
        <v>57</v>
      </c>
      <c r="D158" s="8">
        <v>2</v>
      </c>
      <c r="E158" s="6" t="s">
        <v>576</v>
      </c>
      <c r="F158" s="6" t="s">
        <v>126</v>
      </c>
      <c r="G158" s="6">
        <v>0</v>
      </c>
    </row>
    <row r="159" spans="2:7" x14ac:dyDescent="0.25">
      <c r="B159" s="6" t="s">
        <v>577</v>
      </c>
      <c r="C159" s="6" t="s">
        <v>57</v>
      </c>
      <c r="D159" s="8">
        <v>50</v>
      </c>
      <c r="E159" s="6" t="s">
        <v>578</v>
      </c>
      <c r="F159" s="6" t="s">
        <v>126</v>
      </c>
      <c r="G159" s="6">
        <v>0</v>
      </c>
    </row>
    <row r="160" spans="2:7" x14ac:dyDescent="0.25">
      <c r="B160" s="6" t="s">
        <v>579</v>
      </c>
      <c r="C160" s="6" t="s">
        <v>57</v>
      </c>
      <c r="D160" s="8">
        <v>3</v>
      </c>
      <c r="E160" s="6" t="s">
        <v>580</v>
      </c>
      <c r="F160" s="6" t="s">
        <v>126</v>
      </c>
      <c r="G160" s="6">
        <v>0</v>
      </c>
    </row>
    <row r="161" spans="2:7" x14ac:dyDescent="0.25">
      <c r="B161" s="6" t="s">
        <v>581</v>
      </c>
      <c r="C161" s="6" t="s">
        <v>57</v>
      </c>
      <c r="D161" s="8">
        <v>2</v>
      </c>
      <c r="E161" s="6" t="s">
        <v>582</v>
      </c>
      <c r="F161" s="6" t="s">
        <v>126</v>
      </c>
      <c r="G161" s="6">
        <v>0</v>
      </c>
    </row>
    <row r="162" spans="2:7" x14ac:dyDescent="0.25">
      <c r="B162" s="6" t="s">
        <v>583</v>
      </c>
      <c r="C162" s="6" t="s">
        <v>57</v>
      </c>
      <c r="D162" s="8">
        <v>50</v>
      </c>
      <c r="E162" s="6" t="s">
        <v>584</v>
      </c>
      <c r="F162" s="6" t="s">
        <v>126</v>
      </c>
      <c r="G162" s="6">
        <v>0</v>
      </c>
    </row>
    <row r="163" spans="2:7" x14ac:dyDescent="0.25">
      <c r="B163" s="6" t="s">
        <v>585</v>
      </c>
      <c r="C163" s="6" t="s">
        <v>57</v>
      </c>
      <c r="D163" s="8">
        <v>10</v>
      </c>
      <c r="E163" s="6" t="s">
        <v>586</v>
      </c>
      <c r="F163" s="6" t="s">
        <v>113</v>
      </c>
      <c r="G163" s="6">
        <v>10</v>
      </c>
    </row>
    <row r="164" spans="2:7" x14ac:dyDescent="0.25">
      <c r="B164" s="6" t="s">
        <v>587</v>
      </c>
      <c r="C164" s="6" t="s">
        <v>57</v>
      </c>
      <c r="D164" s="8">
        <v>2</v>
      </c>
      <c r="E164" s="6" t="s">
        <v>588</v>
      </c>
      <c r="F164" s="6" t="s">
        <v>126</v>
      </c>
      <c r="G164" s="6">
        <v>0</v>
      </c>
    </row>
    <row r="165" spans="2:7" x14ac:dyDescent="0.25">
      <c r="B165" s="6" t="s">
        <v>589</v>
      </c>
      <c r="C165" s="6" t="s">
        <v>57</v>
      </c>
      <c r="D165" s="8">
        <v>1</v>
      </c>
      <c r="E165" s="6" t="s">
        <v>590</v>
      </c>
      <c r="F165" s="6" t="s">
        <v>126</v>
      </c>
      <c r="G165" s="6">
        <v>0</v>
      </c>
    </row>
    <row r="166" spans="2:7" x14ac:dyDescent="0.25">
      <c r="B166" s="6" t="s">
        <v>591</v>
      </c>
      <c r="C166" s="6" t="s">
        <v>57</v>
      </c>
      <c r="D166" s="8">
        <v>3</v>
      </c>
      <c r="E166" s="6" t="s">
        <v>592</v>
      </c>
      <c r="F166" s="6" t="s">
        <v>126</v>
      </c>
      <c r="G166" s="6">
        <v>0</v>
      </c>
    </row>
    <row r="167" spans="2:7" x14ac:dyDescent="0.25">
      <c r="B167" s="6" t="s">
        <v>593</v>
      </c>
      <c r="C167" s="6" t="s">
        <v>57</v>
      </c>
      <c r="D167" s="8">
        <v>4</v>
      </c>
      <c r="E167" s="6" t="s">
        <v>594</v>
      </c>
      <c r="F167" s="6" t="s">
        <v>126</v>
      </c>
      <c r="G167" s="6">
        <v>0</v>
      </c>
    </row>
    <row r="168" spans="2:7" x14ac:dyDescent="0.25">
      <c r="B168" s="6" t="s">
        <v>595</v>
      </c>
      <c r="C168" s="6" t="s">
        <v>57</v>
      </c>
      <c r="D168" s="8">
        <v>3</v>
      </c>
      <c r="E168" s="6" t="s">
        <v>596</v>
      </c>
      <c r="F168" s="6" t="s">
        <v>113</v>
      </c>
      <c r="G168" s="6">
        <v>1</v>
      </c>
    </row>
    <row r="169" spans="2:7" x14ac:dyDescent="0.25">
      <c r="B169" s="6" t="s">
        <v>597</v>
      </c>
      <c r="C169" s="6" t="s">
        <v>57</v>
      </c>
      <c r="D169" s="8">
        <v>5</v>
      </c>
      <c r="E169" s="6" t="s">
        <v>598</v>
      </c>
      <c r="F169" s="6" t="s">
        <v>113</v>
      </c>
      <c r="G169" s="6">
        <v>5</v>
      </c>
    </row>
    <row r="170" spans="2:7" x14ac:dyDescent="0.25">
      <c r="B170" s="6" t="s">
        <v>599</v>
      </c>
      <c r="C170" s="6" t="s">
        <v>57</v>
      </c>
      <c r="D170" s="8">
        <v>75</v>
      </c>
      <c r="E170" s="6" t="s">
        <v>600</v>
      </c>
      <c r="F170" s="6" t="s">
        <v>126</v>
      </c>
      <c r="G170" s="6">
        <v>0</v>
      </c>
    </row>
    <row r="171" spans="2:7" ht="15.75" thickBot="1" x14ac:dyDescent="0.3">
      <c r="B171" s="4" t="s">
        <v>513</v>
      </c>
      <c r="C171" s="4"/>
      <c r="D171" s="4"/>
      <c r="E171" s="4"/>
      <c r="F171" s="4"/>
      <c r="G171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showGridLines="0" workbookViewId="0">
      <selection activeCell="M15" sqref="M15"/>
    </sheetView>
  </sheetViews>
  <sheetFormatPr defaultRowHeight="15" x14ac:dyDescent="0.25"/>
  <cols>
    <col min="1" max="1" width="2.125" customWidth="1"/>
    <col min="2" max="2" width="16.875" customWidth="1"/>
    <col min="3" max="3" width="5.5" customWidth="1"/>
    <col min="4" max="4" width="11.875" bestFit="1" customWidth="1"/>
    <col min="5" max="5" width="16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400</v>
      </c>
    </row>
    <row r="3" spans="1:5" x14ac:dyDescent="0.25">
      <c r="A3" s="3" t="s">
        <v>601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602</v>
      </c>
    </row>
    <row r="8" spans="1:5" x14ac:dyDescent="0.25">
      <c r="A8" s="3"/>
      <c r="B8" t="s">
        <v>603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9" t="s">
        <v>70</v>
      </c>
      <c r="C15" s="9" t="s">
        <v>71</v>
      </c>
      <c r="D15" s="9" t="s">
        <v>72</v>
      </c>
      <c r="E15" s="9" t="s">
        <v>73</v>
      </c>
    </row>
    <row r="16" spans="1:5" ht="15.75" thickBot="1" x14ac:dyDescent="0.3">
      <c r="B16" s="4" t="s">
        <v>404</v>
      </c>
      <c r="C16" s="4" t="s">
        <v>57</v>
      </c>
      <c r="D16" s="7">
        <v>73.8</v>
      </c>
      <c r="E16" s="7">
        <v>73.799099999999981</v>
      </c>
    </row>
    <row r="19" spans="1:6" ht="15.75" thickBot="1" x14ac:dyDescent="0.3">
      <c r="A19" t="s">
        <v>74</v>
      </c>
    </row>
    <row r="20" spans="1:6" ht="15.75" thickBot="1" x14ac:dyDescent="0.3">
      <c r="B20" s="9" t="s">
        <v>70</v>
      </c>
      <c r="C20" s="9" t="s">
        <v>71</v>
      </c>
      <c r="D20" s="9" t="s">
        <v>72</v>
      </c>
      <c r="E20" s="9" t="s">
        <v>73</v>
      </c>
      <c r="F20" s="9" t="s">
        <v>75</v>
      </c>
    </row>
    <row r="21" spans="1:6" x14ac:dyDescent="0.25">
      <c r="B21" s="6" t="s">
        <v>81</v>
      </c>
      <c r="C21" s="6" t="s">
        <v>0</v>
      </c>
      <c r="D21" s="8">
        <v>9</v>
      </c>
      <c r="E21" s="8">
        <v>21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1</v>
      </c>
      <c r="E30" s="8">
        <v>2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2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2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3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5</v>
      </c>
      <c r="E38" s="8">
        <v>5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2</v>
      </c>
      <c r="E41" s="8">
        <v>50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10</v>
      </c>
      <c r="E43" s="8">
        <v>10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10</v>
      </c>
      <c r="E44" s="8">
        <v>10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100</v>
      </c>
      <c r="E45" s="8">
        <v>50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5</v>
      </c>
      <c r="E46" s="8">
        <v>5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5</v>
      </c>
      <c r="E47" s="8">
        <v>5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10</v>
      </c>
      <c r="E48" s="8">
        <v>10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3</v>
      </c>
      <c r="E49" s="8">
        <v>3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50</v>
      </c>
      <c r="E50" s="8">
        <v>50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10</v>
      </c>
      <c r="E53" s="8">
        <v>10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5</v>
      </c>
      <c r="E55" s="8">
        <v>5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5</v>
      </c>
      <c r="E56" s="8">
        <v>5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5</v>
      </c>
      <c r="E57" s="8">
        <v>11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18</v>
      </c>
      <c r="E59" s="8">
        <v>20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5</v>
      </c>
      <c r="E60" s="8">
        <v>5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50</v>
      </c>
      <c r="E62" s="8">
        <v>50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3</v>
      </c>
      <c r="E63" s="8">
        <v>3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50</v>
      </c>
      <c r="E65" s="8">
        <v>50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10</v>
      </c>
      <c r="E66" s="8">
        <v>20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1</v>
      </c>
      <c r="E68" s="8">
        <v>1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3</v>
      </c>
      <c r="F69" s="6" t="s">
        <v>75</v>
      </c>
    </row>
    <row r="70" spans="1:7" x14ac:dyDescent="0.25">
      <c r="B70" s="6" t="s">
        <v>229</v>
      </c>
      <c r="C70" s="6" t="s">
        <v>49</v>
      </c>
      <c r="D70" s="8">
        <v>4</v>
      </c>
      <c r="E70" s="8">
        <v>4</v>
      </c>
      <c r="F70" s="6" t="s">
        <v>75</v>
      </c>
    </row>
    <row r="71" spans="1:7" x14ac:dyDescent="0.25">
      <c r="B71" s="6" t="s">
        <v>405</v>
      </c>
      <c r="C71" s="6" t="s">
        <v>398</v>
      </c>
      <c r="D71" s="8">
        <v>3</v>
      </c>
      <c r="E71" s="8">
        <v>3</v>
      </c>
      <c r="F71" s="6" t="s">
        <v>75</v>
      </c>
    </row>
    <row r="72" spans="1:7" ht="15.75" thickBot="1" x14ac:dyDescent="0.3">
      <c r="B72" s="4" t="s">
        <v>406</v>
      </c>
      <c r="C72" s="4" t="s">
        <v>399</v>
      </c>
      <c r="D72" s="7">
        <v>5</v>
      </c>
      <c r="E72" s="7">
        <v>5</v>
      </c>
      <c r="F72" s="4" t="s">
        <v>75</v>
      </c>
    </row>
    <row r="75" spans="1:7" ht="15.75" thickBot="1" x14ac:dyDescent="0.3">
      <c r="A75" t="s">
        <v>51</v>
      </c>
    </row>
    <row r="76" spans="1:7" ht="15.75" thickBot="1" x14ac:dyDescent="0.3">
      <c r="B76" s="9" t="s">
        <v>70</v>
      </c>
      <c r="C76" s="9" t="s">
        <v>71</v>
      </c>
      <c r="D76" s="9" t="s">
        <v>76</v>
      </c>
      <c r="E76" s="9" t="s">
        <v>77</v>
      </c>
      <c r="F76" s="9" t="s">
        <v>78</v>
      </c>
      <c r="G76" s="9" t="s">
        <v>79</v>
      </c>
    </row>
    <row r="77" spans="1:7" x14ac:dyDescent="0.25">
      <c r="B77" s="6" t="s">
        <v>409</v>
      </c>
      <c r="C77" s="6" t="s">
        <v>57</v>
      </c>
      <c r="D77" s="8">
        <v>21</v>
      </c>
      <c r="E77" s="6" t="s">
        <v>410</v>
      </c>
      <c r="F77" s="6" t="s">
        <v>113</v>
      </c>
      <c r="G77" s="8">
        <v>16</v>
      </c>
    </row>
    <row r="78" spans="1:7" x14ac:dyDescent="0.25">
      <c r="B78" s="6" t="s">
        <v>411</v>
      </c>
      <c r="C78" s="6" t="s">
        <v>57</v>
      </c>
      <c r="D78" s="8">
        <v>5</v>
      </c>
      <c r="E78" s="6" t="s">
        <v>412</v>
      </c>
      <c r="F78" s="6" t="s">
        <v>126</v>
      </c>
      <c r="G78" s="8">
        <v>0</v>
      </c>
    </row>
    <row r="79" spans="1:7" x14ac:dyDescent="0.25">
      <c r="B79" s="6" t="s">
        <v>413</v>
      </c>
      <c r="C79" s="6" t="s">
        <v>57</v>
      </c>
      <c r="D79" s="8">
        <v>5</v>
      </c>
      <c r="E79" s="6" t="s">
        <v>414</v>
      </c>
      <c r="F79" s="6" t="s">
        <v>126</v>
      </c>
      <c r="G79" s="8">
        <v>0</v>
      </c>
    </row>
    <row r="80" spans="1:7" x14ac:dyDescent="0.25">
      <c r="B80" s="6" t="s">
        <v>415</v>
      </c>
      <c r="C80" s="6" t="s">
        <v>57</v>
      </c>
      <c r="D80" s="8">
        <v>4</v>
      </c>
      <c r="E80" s="6" t="s">
        <v>416</v>
      </c>
      <c r="F80" s="6" t="s">
        <v>126</v>
      </c>
      <c r="G80" s="8">
        <v>0</v>
      </c>
    </row>
    <row r="81" spans="2:7" x14ac:dyDescent="0.25">
      <c r="B81" s="6" t="s">
        <v>417</v>
      </c>
      <c r="C81" s="6" t="s">
        <v>57</v>
      </c>
      <c r="D81" s="8">
        <v>1</v>
      </c>
      <c r="E81" s="6" t="s">
        <v>418</v>
      </c>
      <c r="F81" s="6" t="s">
        <v>126</v>
      </c>
      <c r="G81" s="8">
        <v>0</v>
      </c>
    </row>
    <row r="82" spans="2:7" x14ac:dyDescent="0.25">
      <c r="B82" s="6" t="s">
        <v>419</v>
      </c>
      <c r="C82" s="6" t="s">
        <v>57</v>
      </c>
      <c r="D82" s="8">
        <v>4</v>
      </c>
      <c r="E82" s="6" t="s">
        <v>420</v>
      </c>
      <c r="F82" s="6" t="s">
        <v>126</v>
      </c>
      <c r="G82" s="8">
        <v>0</v>
      </c>
    </row>
    <row r="83" spans="2:7" x14ac:dyDescent="0.25">
      <c r="B83" s="6" t="s">
        <v>421</v>
      </c>
      <c r="C83" s="6" t="s">
        <v>57</v>
      </c>
      <c r="D83" s="8">
        <v>3</v>
      </c>
      <c r="E83" s="6" t="s">
        <v>422</v>
      </c>
      <c r="F83" s="6" t="s">
        <v>126</v>
      </c>
      <c r="G83" s="8">
        <v>0</v>
      </c>
    </row>
    <row r="84" spans="2:7" x14ac:dyDescent="0.25">
      <c r="B84" s="6" t="s">
        <v>423</v>
      </c>
      <c r="C84" s="6" t="s">
        <v>57</v>
      </c>
      <c r="D84" s="8">
        <v>3</v>
      </c>
      <c r="E84" s="6" t="s">
        <v>424</v>
      </c>
      <c r="F84" s="6" t="s">
        <v>126</v>
      </c>
      <c r="G84" s="8">
        <v>0</v>
      </c>
    </row>
    <row r="85" spans="2:7" x14ac:dyDescent="0.25">
      <c r="B85" s="6" t="s">
        <v>425</v>
      </c>
      <c r="C85" s="6" t="s">
        <v>57</v>
      </c>
      <c r="D85" s="8">
        <v>5</v>
      </c>
      <c r="E85" s="6" t="s">
        <v>426</v>
      </c>
      <c r="F85" s="6" t="s">
        <v>126</v>
      </c>
      <c r="G85" s="8">
        <v>0</v>
      </c>
    </row>
    <row r="86" spans="2:7" x14ac:dyDescent="0.25">
      <c r="B86" s="6" t="s">
        <v>427</v>
      </c>
      <c r="C86" s="6" t="s">
        <v>57</v>
      </c>
      <c r="D86" s="8">
        <v>2</v>
      </c>
      <c r="E86" s="6" t="s">
        <v>428</v>
      </c>
      <c r="F86" s="6" t="s">
        <v>113</v>
      </c>
      <c r="G86" s="8">
        <v>1</v>
      </c>
    </row>
    <row r="87" spans="2:7" x14ac:dyDescent="0.25">
      <c r="B87" s="6" t="s">
        <v>429</v>
      </c>
      <c r="C87" s="6" t="s">
        <v>57</v>
      </c>
      <c r="D87" s="8">
        <v>5</v>
      </c>
      <c r="E87" s="6" t="s">
        <v>430</v>
      </c>
      <c r="F87" s="6" t="s">
        <v>126</v>
      </c>
      <c r="G87" s="8">
        <v>0</v>
      </c>
    </row>
    <row r="88" spans="2:7" x14ac:dyDescent="0.25">
      <c r="B88" s="6" t="s">
        <v>431</v>
      </c>
      <c r="C88" s="6" t="s">
        <v>57</v>
      </c>
      <c r="D88" s="8">
        <v>3</v>
      </c>
      <c r="E88" s="6" t="s">
        <v>432</v>
      </c>
      <c r="F88" s="6" t="s">
        <v>126</v>
      </c>
      <c r="G88" s="8">
        <v>0</v>
      </c>
    </row>
    <row r="89" spans="2:7" x14ac:dyDescent="0.25">
      <c r="B89" s="6" t="s">
        <v>433</v>
      </c>
      <c r="C89" s="6" t="s">
        <v>57</v>
      </c>
      <c r="D89" s="8">
        <v>5</v>
      </c>
      <c r="E89" s="6" t="s">
        <v>434</v>
      </c>
      <c r="F89" s="6" t="s">
        <v>126</v>
      </c>
      <c r="G89" s="8">
        <v>0</v>
      </c>
    </row>
    <row r="90" spans="2:7" x14ac:dyDescent="0.25">
      <c r="B90" s="6" t="s">
        <v>435</v>
      </c>
      <c r="C90" s="6" t="s">
        <v>57</v>
      </c>
      <c r="D90" s="8">
        <v>2</v>
      </c>
      <c r="E90" s="6" t="s">
        <v>436</v>
      </c>
      <c r="F90" s="6" t="s">
        <v>113</v>
      </c>
      <c r="G90" s="8">
        <v>1</v>
      </c>
    </row>
    <row r="91" spans="2:7" x14ac:dyDescent="0.25">
      <c r="B91" s="6" t="s">
        <v>437</v>
      </c>
      <c r="C91" s="6" t="s">
        <v>57</v>
      </c>
      <c r="D91" s="8">
        <v>2</v>
      </c>
      <c r="E91" s="6" t="s">
        <v>438</v>
      </c>
      <c r="F91" s="6" t="s">
        <v>113</v>
      </c>
      <c r="G91" s="8">
        <v>1</v>
      </c>
    </row>
    <row r="92" spans="2:7" x14ac:dyDescent="0.25">
      <c r="B92" s="6" t="s">
        <v>439</v>
      </c>
      <c r="C92" s="6" t="s">
        <v>57</v>
      </c>
      <c r="D92" s="8">
        <v>2</v>
      </c>
      <c r="E92" s="6" t="s">
        <v>440</v>
      </c>
      <c r="F92" s="6" t="s">
        <v>126</v>
      </c>
      <c r="G92" s="8">
        <v>0</v>
      </c>
    </row>
    <row r="93" spans="2:7" x14ac:dyDescent="0.25">
      <c r="B93" s="6" t="s">
        <v>441</v>
      </c>
      <c r="C93" s="6" t="s">
        <v>57</v>
      </c>
      <c r="D93" s="8">
        <v>20</v>
      </c>
      <c r="E93" s="6" t="s">
        <v>442</v>
      </c>
      <c r="F93" s="6" t="s">
        <v>126</v>
      </c>
      <c r="G93" s="8">
        <v>0</v>
      </c>
    </row>
    <row r="94" spans="2:7" x14ac:dyDescent="0.25">
      <c r="B94" s="6" t="s">
        <v>443</v>
      </c>
      <c r="C94" s="6" t="s">
        <v>57</v>
      </c>
      <c r="D94" s="8">
        <v>5</v>
      </c>
      <c r="E94" s="6" t="s">
        <v>444</v>
      </c>
      <c r="F94" s="6" t="s">
        <v>113</v>
      </c>
      <c r="G94" s="8">
        <v>3</v>
      </c>
    </row>
    <row r="95" spans="2:7" x14ac:dyDescent="0.25">
      <c r="B95" s="6" t="s">
        <v>445</v>
      </c>
      <c r="C95" s="6" t="s">
        <v>57</v>
      </c>
      <c r="D95" s="8">
        <v>5</v>
      </c>
      <c r="E95" s="6" t="s">
        <v>446</v>
      </c>
      <c r="F95" s="6" t="s">
        <v>126</v>
      </c>
      <c r="G95" s="8">
        <v>0</v>
      </c>
    </row>
    <row r="96" spans="2:7" x14ac:dyDescent="0.25">
      <c r="B96" s="6" t="s">
        <v>447</v>
      </c>
      <c r="C96" s="6" t="s">
        <v>57</v>
      </c>
      <c r="D96" s="8">
        <v>6</v>
      </c>
      <c r="E96" s="6" t="s">
        <v>448</v>
      </c>
      <c r="F96" s="6" t="s">
        <v>126</v>
      </c>
      <c r="G96" s="8">
        <v>0</v>
      </c>
    </row>
    <row r="97" spans="2:7" x14ac:dyDescent="0.25">
      <c r="B97" s="6" t="s">
        <v>449</v>
      </c>
      <c r="C97" s="6" t="s">
        <v>57</v>
      </c>
      <c r="D97" s="8">
        <v>50</v>
      </c>
      <c r="E97" s="6" t="s">
        <v>450</v>
      </c>
      <c r="F97" s="6" t="s">
        <v>113</v>
      </c>
      <c r="G97" s="8">
        <v>48</v>
      </c>
    </row>
    <row r="98" spans="2:7" x14ac:dyDescent="0.25">
      <c r="B98" s="6" t="s">
        <v>451</v>
      </c>
      <c r="C98" s="6" t="s">
        <v>57</v>
      </c>
      <c r="D98" s="8">
        <v>4</v>
      </c>
      <c r="E98" s="6" t="s">
        <v>452</v>
      </c>
      <c r="F98" s="6" t="s">
        <v>126</v>
      </c>
      <c r="G98" s="8">
        <v>0</v>
      </c>
    </row>
    <row r="99" spans="2:7" x14ac:dyDescent="0.25">
      <c r="B99" s="6" t="s">
        <v>453</v>
      </c>
      <c r="C99" s="6" t="s">
        <v>57</v>
      </c>
      <c r="D99" s="8">
        <v>10</v>
      </c>
      <c r="E99" s="6" t="s">
        <v>454</v>
      </c>
      <c r="F99" s="6" t="s">
        <v>113</v>
      </c>
      <c r="G99" s="8">
        <v>9</v>
      </c>
    </row>
    <row r="100" spans="2:7" x14ac:dyDescent="0.25">
      <c r="B100" s="6" t="s">
        <v>455</v>
      </c>
      <c r="C100" s="6" t="s">
        <v>57</v>
      </c>
      <c r="D100" s="8">
        <v>10</v>
      </c>
      <c r="E100" s="6" t="s">
        <v>456</v>
      </c>
      <c r="F100" s="6" t="s">
        <v>113</v>
      </c>
      <c r="G100" s="8">
        <v>9</v>
      </c>
    </row>
    <row r="101" spans="2:7" x14ac:dyDescent="0.25">
      <c r="B101" s="6" t="s">
        <v>457</v>
      </c>
      <c r="C101" s="6" t="s">
        <v>57</v>
      </c>
      <c r="D101" s="8">
        <v>50</v>
      </c>
      <c r="E101" s="6" t="s">
        <v>458</v>
      </c>
      <c r="F101" s="6" t="s">
        <v>113</v>
      </c>
      <c r="G101" s="8">
        <v>48</v>
      </c>
    </row>
    <row r="102" spans="2:7" x14ac:dyDescent="0.25">
      <c r="B102" s="6" t="s">
        <v>459</v>
      </c>
      <c r="C102" s="6" t="s">
        <v>57</v>
      </c>
      <c r="D102" s="8">
        <v>5</v>
      </c>
      <c r="E102" s="6" t="s">
        <v>460</v>
      </c>
      <c r="F102" s="6" t="s">
        <v>113</v>
      </c>
      <c r="G102" s="8">
        <v>4</v>
      </c>
    </row>
    <row r="103" spans="2:7" x14ac:dyDescent="0.25">
      <c r="B103" s="6" t="s">
        <v>461</v>
      </c>
      <c r="C103" s="6" t="s">
        <v>57</v>
      </c>
      <c r="D103" s="8">
        <v>5</v>
      </c>
      <c r="E103" s="6" t="s">
        <v>462</v>
      </c>
      <c r="F103" s="6" t="s">
        <v>113</v>
      </c>
      <c r="G103" s="8">
        <v>4</v>
      </c>
    </row>
    <row r="104" spans="2:7" x14ac:dyDescent="0.25">
      <c r="B104" s="6" t="s">
        <v>463</v>
      </c>
      <c r="C104" s="6" t="s">
        <v>57</v>
      </c>
      <c r="D104" s="8">
        <v>10</v>
      </c>
      <c r="E104" s="6" t="s">
        <v>464</v>
      </c>
      <c r="F104" s="6" t="s">
        <v>113</v>
      </c>
      <c r="G104" s="8">
        <v>9</v>
      </c>
    </row>
    <row r="105" spans="2:7" x14ac:dyDescent="0.25">
      <c r="B105" s="6" t="s">
        <v>465</v>
      </c>
      <c r="C105" s="6" t="s">
        <v>57</v>
      </c>
      <c r="D105" s="8">
        <v>3</v>
      </c>
      <c r="E105" s="6" t="s">
        <v>466</v>
      </c>
      <c r="F105" s="6" t="s">
        <v>113</v>
      </c>
      <c r="G105" s="8">
        <v>2</v>
      </c>
    </row>
    <row r="106" spans="2:7" x14ac:dyDescent="0.25">
      <c r="B106" s="6" t="s">
        <v>467</v>
      </c>
      <c r="C106" s="6" t="s">
        <v>57</v>
      </c>
      <c r="D106" s="8">
        <v>50</v>
      </c>
      <c r="E106" s="6" t="s">
        <v>468</v>
      </c>
      <c r="F106" s="6" t="s">
        <v>113</v>
      </c>
      <c r="G106" s="8">
        <v>47</v>
      </c>
    </row>
    <row r="107" spans="2:7" x14ac:dyDescent="0.25">
      <c r="B107" s="6" t="s">
        <v>469</v>
      </c>
      <c r="C107" s="6" t="s">
        <v>57</v>
      </c>
      <c r="D107" s="8">
        <v>5</v>
      </c>
      <c r="E107" s="6" t="s">
        <v>470</v>
      </c>
      <c r="F107" s="6" t="s">
        <v>126</v>
      </c>
      <c r="G107" s="8">
        <v>0</v>
      </c>
    </row>
    <row r="108" spans="2:7" x14ac:dyDescent="0.25">
      <c r="B108" s="6" t="s">
        <v>471</v>
      </c>
      <c r="C108" s="6" t="s">
        <v>57</v>
      </c>
      <c r="D108" s="8">
        <v>10</v>
      </c>
      <c r="E108" s="6" t="s">
        <v>472</v>
      </c>
      <c r="F108" s="6" t="s">
        <v>113</v>
      </c>
      <c r="G108" s="8">
        <v>9</v>
      </c>
    </row>
    <row r="109" spans="2:7" x14ac:dyDescent="0.25">
      <c r="B109" s="6" t="s">
        <v>473</v>
      </c>
      <c r="C109" s="6" t="s">
        <v>57</v>
      </c>
      <c r="D109" s="8">
        <v>10</v>
      </c>
      <c r="E109" s="6" t="s">
        <v>474</v>
      </c>
      <c r="F109" s="6" t="s">
        <v>113</v>
      </c>
      <c r="G109" s="8">
        <v>9</v>
      </c>
    </row>
    <row r="110" spans="2:7" x14ac:dyDescent="0.25">
      <c r="B110" s="6" t="s">
        <v>475</v>
      </c>
      <c r="C110" s="6" t="s">
        <v>57</v>
      </c>
      <c r="D110" s="8">
        <v>5</v>
      </c>
      <c r="E110" s="6" t="s">
        <v>476</v>
      </c>
      <c r="F110" s="6" t="s">
        <v>126</v>
      </c>
      <c r="G110" s="8">
        <v>0</v>
      </c>
    </row>
    <row r="111" spans="2:7" x14ac:dyDescent="0.25">
      <c r="B111" s="6" t="s">
        <v>477</v>
      </c>
      <c r="C111" s="6" t="s">
        <v>57</v>
      </c>
      <c r="D111" s="8">
        <v>5</v>
      </c>
      <c r="E111" s="6" t="s">
        <v>478</v>
      </c>
      <c r="F111" s="6" t="s">
        <v>113</v>
      </c>
      <c r="G111" s="8">
        <v>4</v>
      </c>
    </row>
    <row r="112" spans="2:7" x14ac:dyDescent="0.25">
      <c r="B112" s="6" t="s">
        <v>479</v>
      </c>
      <c r="C112" s="6" t="s">
        <v>57</v>
      </c>
      <c r="D112" s="8">
        <v>5</v>
      </c>
      <c r="E112" s="6" t="s">
        <v>480</v>
      </c>
      <c r="F112" s="6" t="s">
        <v>113</v>
      </c>
      <c r="G112" s="8">
        <v>4</v>
      </c>
    </row>
    <row r="113" spans="2:7" x14ac:dyDescent="0.25">
      <c r="B113" s="6" t="s">
        <v>481</v>
      </c>
      <c r="C113" s="6" t="s">
        <v>57</v>
      </c>
      <c r="D113" s="8">
        <v>11</v>
      </c>
      <c r="E113" s="6" t="s">
        <v>482</v>
      </c>
      <c r="F113" s="6" t="s">
        <v>113</v>
      </c>
      <c r="G113" s="8">
        <v>6</v>
      </c>
    </row>
    <row r="114" spans="2:7" x14ac:dyDescent="0.25">
      <c r="B114" s="6" t="s">
        <v>483</v>
      </c>
      <c r="C114" s="6" t="s">
        <v>57</v>
      </c>
      <c r="D114" s="8">
        <v>5</v>
      </c>
      <c r="E114" s="6" t="s">
        <v>484</v>
      </c>
      <c r="F114" s="6" t="s">
        <v>126</v>
      </c>
      <c r="G114" s="8">
        <v>0</v>
      </c>
    </row>
    <row r="115" spans="2:7" x14ac:dyDescent="0.25">
      <c r="B115" s="6" t="s">
        <v>485</v>
      </c>
      <c r="C115" s="6" t="s">
        <v>57</v>
      </c>
      <c r="D115" s="8">
        <v>20</v>
      </c>
      <c r="E115" s="6" t="s">
        <v>486</v>
      </c>
      <c r="F115" s="6" t="s">
        <v>113</v>
      </c>
      <c r="G115" s="8">
        <v>15</v>
      </c>
    </row>
    <row r="116" spans="2:7" x14ac:dyDescent="0.25">
      <c r="B116" s="6" t="s">
        <v>487</v>
      </c>
      <c r="C116" s="6" t="s">
        <v>57</v>
      </c>
      <c r="D116" s="8">
        <v>5</v>
      </c>
      <c r="E116" s="6" t="s">
        <v>488</v>
      </c>
      <c r="F116" s="6" t="s">
        <v>113</v>
      </c>
      <c r="G116" s="8">
        <v>4</v>
      </c>
    </row>
    <row r="117" spans="2:7" x14ac:dyDescent="0.25">
      <c r="B117" s="6" t="s">
        <v>489</v>
      </c>
      <c r="C117" s="6" t="s">
        <v>57</v>
      </c>
      <c r="D117" s="8">
        <v>2</v>
      </c>
      <c r="E117" s="6" t="s">
        <v>490</v>
      </c>
      <c r="F117" s="6" t="s">
        <v>113</v>
      </c>
      <c r="G117" s="8">
        <v>1</v>
      </c>
    </row>
    <row r="118" spans="2:7" x14ac:dyDescent="0.25">
      <c r="B118" s="6" t="s">
        <v>491</v>
      </c>
      <c r="C118" s="6" t="s">
        <v>57</v>
      </c>
      <c r="D118" s="8">
        <v>50</v>
      </c>
      <c r="E118" s="6" t="s">
        <v>492</v>
      </c>
      <c r="F118" s="6" t="s">
        <v>113</v>
      </c>
      <c r="G118" s="8">
        <v>47</v>
      </c>
    </row>
    <row r="119" spans="2:7" x14ac:dyDescent="0.25">
      <c r="B119" s="6" t="s">
        <v>493</v>
      </c>
      <c r="C119" s="6" t="s">
        <v>57</v>
      </c>
      <c r="D119" s="8">
        <v>3</v>
      </c>
      <c r="E119" s="6" t="s">
        <v>494</v>
      </c>
      <c r="F119" s="6" t="s">
        <v>113</v>
      </c>
      <c r="G119" s="8">
        <v>2</v>
      </c>
    </row>
    <row r="120" spans="2:7" x14ac:dyDescent="0.25">
      <c r="B120" s="6" t="s">
        <v>495</v>
      </c>
      <c r="C120" s="6" t="s">
        <v>57</v>
      </c>
      <c r="D120" s="8">
        <v>2</v>
      </c>
      <c r="E120" s="6" t="s">
        <v>496</v>
      </c>
      <c r="F120" s="6" t="s">
        <v>113</v>
      </c>
      <c r="G120" s="8">
        <v>1</v>
      </c>
    </row>
    <row r="121" spans="2:7" x14ac:dyDescent="0.25">
      <c r="B121" s="6" t="s">
        <v>497</v>
      </c>
      <c r="C121" s="6" t="s">
        <v>57</v>
      </c>
      <c r="D121" s="8">
        <v>50</v>
      </c>
      <c r="E121" s="6" t="s">
        <v>498</v>
      </c>
      <c r="F121" s="6" t="s">
        <v>113</v>
      </c>
      <c r="G121" s="8">
        <v>47</v>
      </c>
    </row>
    <row r="122" spans="2:7" x14ac:dyDescent="0.25">
      <c r="B122" s="6" t="s">
        <v>499</v>
      </c>
      <c r="C122" s="6" t="s">
        <v>57</v>
      </c>
      <c r="D122" s="8">
        <v>20</v>
      </c>
      <c r="E122" s="6" t="s">
        <v>500</v>
      </c>
      <c r="F122" s="6" t="s">
        <v>113</v>
      </c>
      <c r="G122" s="8">
        <v>10</v>
      </c>
    </row>
    <row r="123" spans="2:7" x14ac:dyDescent="0.25">
      <c r="B123" s="6" t="s">
        <v>501</v>
      </c>
      <c r="C123" s="6" t="s">
        <v>57</v>
      </c>
      <c r="D123" s="8">
        <v>2</v>
      </c>
      <c r="E123" s="6" t="s">
        <v>502</v>
      </c>
      <c r="F123" s="6" t="s">
        <v>113</v>
      </c>
      <c r="G123" s="8">
        <v>1</v>
      </c>
    </row>
    <row r="124" spans="2:7" x14ac:dyDescent="0.25">
      <c r="B124" s="6" t="s">
        <v>503</v>
      </c>
      <c r="C124" s="6" t="s">
        <v>57</v>
      </c>
      <c r="D124" s="8">
        <v>1</v>
      </c>
      <c r="E124" s="6" t="s">
        <v>504</v>
      </c>
      <c r="F124" s="6" t="s">
        <v>126</v>
      </c>
      <c r="G124" s="8">
        <v>0</v>
      </c>
    </row>
    <row r="125" spans="2:7" x14ac:dyDescent="0.25">
      <c r="B125" s="6" t="s">
        <v>505</v>
      </c>
      <c r="C125" s="6" t="s">
        <v>57</v>
      </c>
      <c r="D125" s="8">
        <v>3</v>
      </c>
      <c r="E125" s="6" t="s">
        <v>506</v>
      </c>
      <c r="F125" s="6" t="s">
        <v>113</v>
      </c>
      <c r="G125" s="8">
        <v>1</v>
      </c>
    </row>
    <row r="126" spans="2:7" x14ac:dyDescent="0.25">
      <c r="B126" s="6" t="s">
        <v>507</v>
      </c>
      <c r="C126" s="6" t="s">
        <v>57</v>
      </c>
      <c r="D126" s="8">
        <v>4</v>
      </c>
      <c r="E126" s="6" t="s">
        <v>508</v>
      </c>
      <c r="F126" s="6" t="s">
        <v>113</v>
      </c>
      <c r="G126" s="8">
        <v>1</v>
      </c>
    </row>
    <row r="127" spans="2:7" x14ac:dyDescent="0.25">
      <c r="B127" s="6" t="s">
        <v>509</v>
      </c>
      <c r="C127" s="6" t="s">
        <v>57</v>
      </c>
      <c r="D127" s="8">
        <v>3</v>
      </c>
      <c r="E127" s="6" t="s">
        <v>510</v>
      </c>
      <c r="F127" s="6" t="s">
        <v>126</v>
      </c>
      <c r="G127" s="8">
        <v>0</v>
      </c>
    </row>
    <row r="128" spans="2:7" x14ac:dyDescent="0.25">
      <c r="B128" s="6" t="s">
        <v>511</v>
      </c>
      <c r="C128" s="6" t="s">
        <v>57</v>
      </c>
      <c r="D128" s="8">
        <v>5</v>
      </c>
      <c r="E128" s="6" t="s">
        <v>512</v>
      </c>
      <c r="F128" s="6" t="s">
        <v>126</v>
      </c>
      <c r="G128" s="8">
        <v>0</v>
      </c>
    </row>
    <row r="129" spans="2:7" x14ac:dyDescent="0.25">
      <c r="B129" s="6" t="s">
        <v>517</v>
      </c>
      <c r="C129" s="6" t="s">
        <v>57</v>
      </c>
      <c r="D129" s="8">
        <v>1</v>
      </c>
      <c r="E129" s="6" t="s">
        <v>518</v>
      </c>
      <c r="F129" s="6" t="s">
        <v>113</v>
      </c>
      <c r="G129" s="6">
        <v>1</v>
      </c>
    </row>
    <row r="130" spans="2:7" x14ac:dyDescent="0.25">
      <c r="B130" s="6" t="s">
        <v>519</v>
      </c>
      <c r="C130" s="6" t="s">
        <v>57</v>
      </c>
      <c r="D130" s="8">
        <v>2</v>
      </c>
      <c r="E130" s="6" t="s">
        <v>520</v>
      </c>
      <c r="F130" s="6" t="s">
        <v>126</v>
      </c>
      <c r="G130" s="6">
        <v>0</v>
      </c>
    </row>
    <row r="131" spans="2:7" x14ac:dyDescent="0.25">
      <c r="B131" s="6" t="s">
        <v>521</v>
      </c>
      <c r="C131" s="6" t="s">
        <v>57</v>
      </c>
      <c r="D131" s="8">
        <v>2</v>
      </c>
      <c r="E131" s="6" t="s">
        <v>522</v>
      </c>
      <c r="F131" s="6" t="s">
        <v>126</v>
      </c>
      <c r="G131" s="6">
        <v>0</v>
      </c>
    </row>
    <row r="132" spans="2:7" x14ac:dyDescent="0.25">
      <c r="B132" s="6" t="s">
        <v>523</v>
      </c>
      <c r="C132" s="6" t="s">
        <v>57</v>
      </c>
      <c r="D132" s="8">
        <v>2</v>
      </c>
      <c r="E132" s="6" t="s">
        <v>524</v>
      </c>
      <c r="F132" s="6" t="s">
        <v>126</v>
      </c>
      <c r="G132" s="6">
        <v>0</v>
      </c>
    </row>
    <row r="133" spans="2:7" x14ac:dyDescent="0.25">
      <c r="B133" s="6" t="s">
        <v>525</v>
      </c>
      <c r="C133" s="6" t="s">
        <v>57</v>
      </c>
      <c r="D133" s="8">
        <v>2</v>
      </c>
      <c r="E133" s="6" t="s">
        <v>526</v>
      </c>
      <c r="F133" s="6" t="s">
        <v>113</v>
      </c>
      <c r="G133" s="6">
        <v>3</v>
      </c>
    </row>
    <row r="134" spans="2:7" x14ac:dyDescent="0.25">
      <c r="B134" s="6" t="s">
        <v>527</v>
      </c>
      <c r="C134" s="6" t="s">
        <v>57</v>
      </c>
      <c r="D134" s="8">
        <v>20</v>
      </c>
      <c r="E134" s="6" t="s">
        <v>528</v>
      </c>
      <c r="F134" s="6" t="s">
        <v>113</v>
      </c>
      <c r="G134" s="6">
        <v>80</v>
      </c>
    </row>
    <row r="135" spans="2:7" x14ac:dyDescent="0.25">
      <c r="B135" s="6" t="s">
        <v>529</v>
      </c>
      <c r="C135" s="6" t="s">
        <v>57</v>
      </c>
      <c r="D135" s="8">
        <v>5</v>
      </c>
      <c r="E135" s="6" t="s">
        <v>530</v>
      </c>
      <c r="F135" s="6" t="s">
        <v>126</v>
      </c>
      <c r="G135" s="6">
        <v>0</v>
      </c>
    </row>
    <row r="136" spans="2:7" x14ac:dyDescent="0.25">
      <c r="B136" s="6" t="s">
        <v>531</v>
      </c>
      <c r="C136" s="6" t="s">
        <v>57</v>
      </c>
      <c r="D136" s="8">
        <v>5</v>
      </c>
      <c r="E136" s="6" t="s">
        <v>532</v>
      </c>
      <c r="F136" s="6" t="s">
        <v>113</v>
      </c>
      <c r="G136" s="6">
        <v>5</v>
      </c>
    </row>
    <row r="137" spans="2:7" x14ac:dyDescent="0.25">
      <c r="B137" s="6" t="s">
        <v>533</v>
      </c>
      <c r="C137" s="6" t="s">
        <v>57</v>
      </c>
      <c r="D137" s="8">
        <v>6</v>
      </c>
      <c r="E137" s="6" t="s">
        <v>534</v>
      </c>
      <c r="F137" s="6" t="s">
        <v>113</v>
      </c>
      <c r="G137" s="6">
        <v>44</v>
      </c>
    </row>
    <row r="138" spans="2:7" x14ac:dyDescent="0.25">
      <c r="B138" s="6" t="s">
        <v>535</v>
      </c>
      <c r="C138" s="6" t="s">
        <v>57</v>
      </c>
      <c r="D138" s="8">
        <v>50</v>
      </c>
      <c r="E138" s="6" t="s">
        <v>536</v>
      </c>
      <c r="F138" s="6" t="s">
        <v>126</v>
      </c>
      <c r="G138" s="6">
        <v>0</v>
      </c>
    </row>
    <row r="139" spans="2:7" x14ac:dyDescent="0.25">
      <c r="B139" s="6" t="s">
        <v>537</v>
      </c>
      <c r="C139" s="6" t="s">
        <v>57</v>
      </c>
      <c r="D139" s="8">
        <v>4</v>
      </c>
      <c r="E139" s="6" t="s">
        <v>538</v>
      </c>
      <c r="F139" s="6" t="s">
        <v>113</v>
      </c>
      <c r="G139" s="6">
        <v>46</v>
      </c>
    </row>
    <row r="140" spans="2:7" x14ac:dyDescent="0.25">
      <c r="B140" s="6" t="s">
        <v>539</v>
      </c>
      <c r="C140" s="6" t="s">
        <v>57</v>
      </c>
      <c r="D140" s="8">
        <v>10</v>
      </c>
      <c r="E140" s="6" t="s">
        <v>540</v>
      </c>
      <c r="F140" s="6" t="s">
        <v>126</v>
      </c>
      <c r="G140" s="6">
        <v>0</v>
      </c>
    </row>
    <row r="141" spans="2:7" x14ac:dyDescent="0.25">
      <c r="B141" s="6" t="s">
        <v>541</v>
      </c>
      <c r="C141" s="6" t="s">
        <v>57</v>
      </c>
      <c r="D141" s="8">
        <v>10</v>
      </c>
      <c r="E141" s="6" t="s">
        <v>542</v>
      </c>
      <c r="F141" s="6" t="s">
        <v>126</v>
      </c>
      <c r="G141" s="6">
        <v>0</v>
      </c>
    </row>
    <row r="142" spans="2:7" x14ac:dyDescent="0.25">
      <c r="B142" s="6" t="s">
        <v>543</v>
      </c>
      <c r="C142" s="6" t="s">
        <v>57</v>
      </c>
      <c r="D142" s="8">
        <v>50</v>
      </c>
      <c r="E142" s="6" t="s">
        <v>544</v>
      </c>
      <c r="F142" s="6" t="s">
        <v>126</v>
      </c>
      <c r="G142" s="6">
        <v>0</v>
      </c>
    </row>
    <row r="143" spans="2:7" x14ac:dyDescent="0.25">
      <c r="B143" s="6" t="s">
        <v>545</v>
      </c>
      <c r="C143" s="6" t="s">
        <v>57</v>
      </c>
      <c r="D143" s="8">
        <v>5</v>
      </c>
      <c r="E143" s="6" t="s">
        <v>546</v>
      </c>
      <c r="F143" s="6" t="s">
        <v>126</v>
      </c>
      <c r="G143" s="6">
        <v>0</v>
      </c>
    </row>
    <row r="144" spans="2:7" x14ac:dyDescent="0.25">
      <c r="B144" s="6" t="s">
        <v>547</v>
      </c>
      <c r="C144" s="6" t="s">
        <v>57</v>
      </c>
      <c r="D144" s="8">
        <v>5</v>
      </c>
      <c r="E144" s="6" t="s">
        <v>548</v>
      </c>
      <c r="F144" s="6" t="s">
        <v>126</v>
      </c>
      <c r="G144" s="6">
        <v>0</v>
      </c>
    </row>
    <row r="145" spans="2:7" x14ac:dyDescent="0.25">
      <c r="B145" s="6" t="s">
        <v>549</v>
      </c>
      <c r="C145" s="6" t="s">
        <v>57</v>
      </c>
      <c r="D145" s="8">
        <v>10</v>
      </c>
      <c r="E145" s="6" t="s">
        <v>550</v>
      </c>
      <c r="F145" s="6" t="s">
        <v>126</v>
      </c>
      <c r="G145" s="6">
        <v>0</v>
      </c>
    </row>
    <row r="146" spans="2:7" x14ac:dyDescent="0.25">
      <c r="B146" s="6" t="s">
        <v>551</v>
      </c>
      <c r="C146" s="6" t="s">
        <v>57</v>
      </c>
      <c r="D146" s="8">
        <v>3</v>
      </c>
      <c r="E146" s="6" t="s">
        <v>552</v>
      </c>
      <c r="F146" s="6" t="s">
        <v>126</v>
      </c>
      <c r="G146" s="6">
        <v>0</v>
      </c>
    </row>
    <row r="147" spans="2:7" x14ac:dyDescent="0.25">
      <c r="B147" s="6" t="s">
        <v>553</v>
      </c>
      <c r="C147" s="6" t="s">
        <v>57</v>
      </c>
      <c r="D147" s="8">
        <v>50</v>
      </c>
      <c r="E147" s="6" t="s">
        <v>554</v>
      </c>
      <c r="F147" s="6" t="s">
        <v>126</v>
      </c>
      <c r="G147" s="6">
        <v>0</v>
      </c>
    </row>
    <row r="148" spans="2:7" x14ac:dyDescent="0.25">
      <c r="B148" s="6" t="s">
        <v>555</v>
      </c>
      <c r="C148" s="6" t="s">
        <v>57</v>
      </c>
      <c r="D148" s="8">
        <v>5</v>
      </c>
      <c r="E148" s="6" t="s">
        <v>556</v>
      </c>
      <c r="F148" s="6" t="s">
        <v>113</v>
      </c>
      <c r="G148" s="6">
        <v>45</v>
      </c>
    </row>
    <row r="149" spans="2:7" x14ac:dyDescent="0.25">
      <c r="B149" s="6" t="s">
        <v>557</v>
      </c>
      <c r="C149" s="6" t="s">
        <v>57</v>
      </c>
      <c r="D149" s="8">
        <v>10</v>
      </c>
      <c r="E149" s="6" t="s">
        <v>558</v>
      </c>
      <c r="F149" s="6" t="s">
        <v>126</v>
      </c>
      <c r="G149" s="6">
        <v>0</v>
      </c>
    </row>
    <row r="150" spans="2:7" x14ac:dyDescent="0.25">
      <c r="B150" s="6" t="s">
        <v>559</v>
      </c>
      <c r="C150" s="6" t="s">
        <v>57</v>
      </c>
      <c r="D150" s="8">
        <v>10</v>
      </c>
      <c r="E150" s="6" t="s">
        <v>560</v>
      </c>
      <c r="F150" s="6" t="s">
        <v>126</v>
      </c>
      <c r="G150" s="6">
        <v>0</v>
      </c>
    </row>
    <row r="151" spans="2:7" x14ac:dyDescent="0.25">
      <c r="B151" s="6" t="s">
        <v>561</v>
      </c>
      <c r="C151" s="6" t="s">
        <v>57</v>
      </c>
      <c r="D151" s="8">
        <v>5</v>
      </c>
      <c r="E151" s="6" t="s">
        <v>562</v>
      </c>
      <c r="F151" s="6" t="s">
        <v>113</v>
      </c>
      <c r="G151" s="6">
        <v>45</v>
      </c>
    </row>
    <row r="152" spans="2:7" x14ac:dyDescent="0.25">
      <c r="B152" s="6" t="s">
        <v>563</v>
      </c>
      <c r="C152" s="6" t="s">
        <v>57</v>
      </c>
      <c r="D152" s="8">
        <v>5</v>
      </c>
      <c r="E152" s="6" t="s">
        <v>564</v>
      </c>
      <c r="F152" s="6" t="s">
        <v>126</v>
      </c>
      <c r="G152" s="6">
        <v>0</v>
      </c>
    </row>
    <row r="153" spans="2:7" x14ac:dyDescent="0.25">
      <c r="B153" s="6" t="s">
        <v>565</v>
      </c>
      <c r="C153" s="6" t="s">
        <v>57</v>
      </c>
      <c r="D153" s="8">
        <v>5</v>
      </c>
      <c r="E153" s="6" t="s">
        <v>566</v>
      </c>
      <c r="F153" s="6" t="s">
        <v>126</v>
      </c>
      <c r="G153" s="6">
        <v>0</v>
      </c>
    </row>
    <row r="154" spans="2:7" x14ac:dyDescent="0.25">
      <c r="B154" s="6" t="s">
        <v>567</v>
      </c>
      <c r="C154" s="6" t="s">
        <v>57</v>
      </c>
      <c r="D154" s="8">
        <v>11</v>
      </c>
      <c r="E154" s="6" t="s">
        <v>568</v>
      </c>
      <c r="F154" s="6" t="s">
        <v>113</v>
      </c>
      <c r="G154" s="6">
        <v>39</v>
      </c>
    </row>
    <row r="155" spans="2:7" x14ac:dyDescent="0.25">
      <c r="B155" s="6" t="s">
        <v>569</v>
      </c>
      <c r="C155" s="6" t="s">
        <v>57</v>
      </c>
      <c r="D155" s="8">
        <v>5</v>
      </c>
      <c r="E155" s="6" t="s">
        <v>570</v>
      </c>
      <c r="F155" s="6" t="s">
        <v>113</v>
      </c>
      <c r="G155" s="6">
        <v>15</v>
      </c>
    </row>
    <row r="156" spans="2:7" x14ac:dyDescent="0.25">
      <c r="B156" s="6" t="s">
        <v>571</v>
      </c>
      <c r="C156" s="6" t="s">
        <v>57</v>
      </c>
      <c r="D156" s="8">
        <v>20</v>
      </c>
      <c r="E156" s="6" t="s">
        <v>572</v>
      </c>
      <c r="F156" s="6" t="s">
        <v>126</v>
      </c>
      <c r="G156" s="6">
        <v>0</v>
      </c>
    </row>
    <row r="157" spans="2:7" x14ac:dyDescent="0.25">
      <c r="B157" s="6" t="s">
        <v>573</v>
      </c>
      <c r="C157" s="6" t="s">
        <v>57</v>
      </c>
      <c r="D157" s="8">
        <v>5</v>
      </c>
      <c r="E157" s="6" t="s">
        <v>574</v>
      </c>
      <c r="F157" s="6" t="s">
        <v>126</v>
      </c>
      <c r="G157" s="6">
        <v>0</v>
      </c>
    </row>
    <row r="158" spans="2:7" x14ac:dyDescent="0.25">
      <c r="B158" s="6" t="s">
        <v>575</v>
      </c>
      <c r="C158" s="6" t="s">
        <v>57</v>
      </c>
      <c r="D158" s="8">
        <v>2</v>
      </c>
      <c r="E158" s="6" t="s">
        <v>576</v>
      </c>
      <c r="F158" s="6" t="s">
        <v>126</v>
      </c>
      <c r="G158" s="6">
        <v>0</v>
      </c>
    </row>
    <row r="159" spans="2:7" x14ac:dyDescent="0.25">
      <c r="B159" s="6" t="s">
        <v>577</v>
      </c>
      <c r="C159" s="6" t="s">
        <v>57</v>
      </c>
      <c r="D159" s="8">
        <v>50</v>
      </c>
      <c r="E159" s="6" t="s">
        <v>578</v>
      </c>
      <c r="F159" s="6" t="s">
        <v>126</v>
      </c>
      <c r="G159" s="6">
        <v>0</v>
      </c>
    </row>
    <row r="160" spans="2:7" x14ac:dyDescent="0.25">
      <c r="B160" s="6" t="s">
        <v>579</v>
      </c>
      <c r="C160" s="6" t="s">
        <v>57</v>
      </c>
      <c r="D160" s="8">
        <v>3</v>
      </c>
      <c r="E160" s="6" t="s">
        <v>580</v>
      </c>
      <c r="F160" s="6" t="s">
        <v>126</v>
      </c>
      <c r="G160" s="6">
        <v>0</v>
      </c>
    </row>
    <row r="161" spans="2:7" x14ac:dyDescent="0.25">
      <c r="B161" s="6" t="s">
        <v>581</v>
      </c>
      <c r="C161" s="6" t="s">
        <v>57</v>
      </c>
      <c r="D161" s="8">
        <v>2</v>
      </c>
      <c r="E161" s="6" t="s">
        <v>582</v>
      </c>
      <c r="F161" s="6" t="s">
        <v>126</v>
      </c>
      <c r="G161" s="6">
        <v>0</v>
      </c>
    </row>
    <row r="162" spans="2:7" x14ac:dyDescent="0.25">
      <c r="B162" s="6" t="s">
        <v>583</v>
      </c>
      <c r="C162" s="6" t="s">
        <v>57</v>
      </c>
      <c r="D162" s="8">
        <v>50</v>
      </c>
      <c r="E162" s="6" t="s">
        <v>584</v>
      </c>
      <c r="F162" s="6" t="s">
        <v>126</v>
      </c>
      <c r="G162" s="6">
        <v>0</v>
      </c>
    </row>
    <row r="163" spans="2:7" x14ac:dyDescent="0.25">
      <c r="B163" s="6" t="s">
        <v>585</v>
      </c>
      <c r="C163" s="6" t="s">
        <v>57</v>
      </c>
      <c r="D163" s="8">
        <v>20</v>
      </c>
      <c r="E163" s="6" t="s">
        <v>586</v>
      </c>
      <c r="F163" s="6" t="s">
        <v>126</v>
      </c>
      <c r="G163" s="6">
        <v>0</v>
      </c>
    </row>
    <row r="164" spans="2:7" x14ac:dyDescent="0.25">
      <c r="B164" s="6" t="s">
        <v>587</v>
      </c>
      <c r="C164" s="6" t="s">
        <v>57</v>
      </c>
      <c r="D164" s="8">
        <v>2</v>
      </c>
      <c r="E164" s="6" t="s">
        <v>588</v>
      </c>
      <c r="F164" s="6" t="s">
        <v>126</v>
      </c>
      <c r="G164" s="6">
        <v>0</v>
      </c>
    </row>
    <row r="165" spans="2:7" x14ac:dyDescent="0.25">
      <c r="B165" s="6" t="s">
        <v>589</v>
      </c>
      <c r="C165" s="6" t="s">
        <v>57</v>
      </c>
      <c r="D165" s="8">
        <v>1</v>
      </c>
      <c r="E165" s="6" t="s">
        <v>590</v>
      </c>
      <c r="F165" s="6" t="s">
        <v>126</v>
      </c>
      <c r="G165" s="6">
        <v>0</v>
      </c>
    </row>
    <row r="166" spans="2:7" x14ac:dyDescent="0.25">
      <c r="B166" s="6" t="s">
        <v>591</v>
      </c>
      <c r="C166" s="6" t="s">
        <v>57</v>
      </c>
      <c r="D166" s="8">
        <v>3</v>
      </c>
      <c r="E166" s="6" t="s">
        <v>592</v>
      </c>
      <c r="F166" s="6" t="s">
        <v>126</v>
      </c>
      <c r="G166" s="6">
        <v>0</v>
      </c>
    </row>
    <row r="167" spans="2:7" x14ac:dyDescent="0.25">
      <c r="B167" s="6" t="s">
        <v>593</v>
      </c>
      <c r="C167" s="6" t="s">
        <v>57</v>
      </c>
      <c r="D167" s="8">
        <v>4</v>
      </c>
      <c r="E167" s="6" t="s">
        <v>594</v>
      </c>
      <c r="F167" s="6" t="s">
        <v>126</v>
      </c>
      <c r="G167" s="6">
        <v>0</v>
      </c>
    </row>
    <row r="168" spans="2:7" x14ac:dyDescent="0.25">
      <c r="B168" s="6" t="s">
        <v>595</v>
      </c>
      <c r="C168" s="6" t="s">
        <v>57</v>
      </c>
      <c r="D168" s="8">
        <v>3</v>
      </c>
      <c r="E168" s="6" t="s">
        <v>596</v>
      </c>
      <c r="F168" s="6" t="s">
        <v>113</v>
      </c>
      <c r="G168" s="6">
        <v>1</v>
      </c>
    </row>
    <row r="169" spans="2:7" x14ac:dyDescent="0.25">
      <c r="B169" s="6" t="s">
        <v>597</v>
      </c>
      <c r="C169" s="6" t="s">
        <v>57</v>
      </c>
      <c r="D169" s="8">
        <v>5</v>
      </c>
      <c r="E169" s="6" t="s">
        <v>598</v>
      </c>
      <c r="F169" s="6" t="s">
        <v>113</v>
      </c>
      <c r="G169" s="6">
        <v>5</v>
      </c>
    </row>
    <row r="170" spans="2:7" x14ac:dyDescent="0.25">
      <c r="B170" s="6" t="s">
        <v>599</v>
      </c>
      <c r="C170" s="6" t="s">
        <v>57</v>
      </c>
      <c r="D170" s="8">
        <v>74.999099999999984</v>
      </c>
      <c r="E170" s="6" t="s">
        <v>600</v>
      </c>
      <c r="F170" s="6" t="s">
        <v>113</v>
      </c>
      <c r="G170" s="6">
        <v>9.0000000001566605E-4</v>
      </c>
    </row>
    <row r="171" spans="2:7" ht="15.75" thickBot="1" x14ac:dyDescent="0.3">
      <c r="B171" s="4" t="s">
        <v>513</v>
      </c>
      <c r="C171" s="4"/>
      <c r="D171" s="4"/>
      <c r="E171" s="4"/>
      <c r="F171" s="4"/>
      <c r="G171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1"/>
  <sheetViews>
    <sheetView showGridLines="0" workbookViewId="0">
      <selection activeCell="N7" sqref="N7"/>
    </sheetView>
  </sheetViews>
  <sheetFormatPr defaultRowHeight="15" x14ac:dyDescent="0.25"/>
  <cols>
    <col min="1" max="1" width="2.125" customWidth="1"/>
    <col min="2" max="2" width="16.875" customWidth="1"/>
    <col min="3" max="3" width="5.5" customWidth="1"/>
    <col min="4" max="4" width="11.875" bestFit="1" customWidth="1"/>
    <col min="5" max="5" width="16.87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400</v>
      </c>
    </row>
    <row r="3" spans="1:5" x14ac:dyDescent="0.25">
      <c r="A3" s="3" t="s">
        <v>604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205</v>
      </c>
    </row>
    <row r="8" spans="1:5" x14ac:dyDescent="0.25">
      <c r="A8" s="3"/>
      <c r="B8" t="s">
        <v>605</v>
      </c>
    </row>
    <row r="9" spans="1:5" x14ac:dyDescent="0.25">
      <c r="A9" s="3" t="s">
        <v>66</v>
      </c>
    </row>
    <row r="10" spans="1:5" x14ac:dyDescent="0.25">
      <c r="B10" t="s">
        <v>207</v>
      </c>
    </row>
    <row r="11" spans="1:5" x14ac:dyDescent="0.25">
      <c r="B11" t="s">
        <v>208</v>
      </c>
    </row>
    <row r="14" spans="1:5" ht="15.75" thickBot="1" x14ac:dyDescent="0.3">
      <c r="A14" t="s">
        <v>69</v>
      </c>
    </row>
    <row r="15" spans="1:5" ht="15.75" thickBot="1" x14ac:dyDescent="0.3">
      <c r="B15" s="9" t="s">
        <v>70</v>
      </c>
      <c r="C15" s="9" t="s">
        <v>71</v>
      </c>
      <c r="D15" s="9" t="s">
        <v>72</v>
      </c>
      <c r="E15" s="9" t="s">
        <v>73</v>
      </c>
    </row>
    <row r="16" spans="1:5" ht="15.75" thickBot="1" x14ac:dyDescent="0.3">
      <c r="B16" s="4" t="s">
        <v>404</v>
      </c>
      <c r="C16" s="4" t="s">
        <v>57</v>
      </c>
      <c r="D16" s="7">
        <v>74.999099999999984</v>
      </c>
      <c r="E16" s="7">
        <v>74.999099999999999</v>
      </c>
    </row>
    <row r="19" spans="1:6" ht="15.75" thickBot="1" x14ac:dyDescent="0.3">
      <c r="A19" t="s">
        <v>74</v>
      </c>
    </row>
    <row r="20" spans="1:6" ht="15.75" thickBot="1" x14ac:dyDescent="0.3">
      <c r="B20" s="9" t="s">
        <v>70</v>
      </c>
      <c r="C20" s="9" t="s">
        <v>71</v>
      </c>
      <c r="D20" s="9" t="s">
        <v>72</v>
      </c>
      <c r="E20" s="9" t="s">
        <v>73</v>
      </c>
      <c r="F20" s="9" t="s">
        <v>75</v>
      </c>
    </row>
    <row r="21" spans="1:6" x14ac:dyDescent="0.25">
      <c r="B21" s="6" t="s">
        <v>81</v>
      </c>
      <c r="C21" s="6" t="s">
        <v>0</v>
      </c>
      <c r="D21" s="8">
        <v>21</v>
      </c>
      <c r="E21" s="8">
        <v>16</v>
      </c>
      <c r="F21" s="6" t="s">
        <v>75</v>
      </c>
    </row>
    <row r="22" spans="1:6" x14ac:dyDescent="0.25">
      <c r="B22" s="6" t="s">
        <v>82</v>
      </c>
      <c r="C22" s="6" t="s">
        <v>1</v>
      </c>
      <c r="D22" s="8">
        <v>5</v>
      </c>
      <c r="E22" s="8">
        <v>5</v>
      </c>
      <c r="F22" s="6" t="s">
        <v>75</v>
      </c>
    </row>
    <row r="23" spans="1:6" x14ac:dyDescent="0.25">
      <c r="B23" s="6" t="s">
        <v>83</v>
      </c>
      <c r="C23" s="6" t="s">
        <v>2</v>
      </c>
      <c r="D23" s="8">
        <v>5</v>
      </c>
      <c r="E23" s="8">
        <v>5</v>
      </c>
      <c r="F23" s="6" t="s">
        <v>75</v>
      </c>
    </row>
    <row r="24" spans="1:6" x14ac:dyDescent="0.25">
      <c r="B24" s="6" t="s">
        <v>84</v>
      </c>
      <c r="C24" s="6" t="s">
        <v>3</v>
      </c>
      <c r="D24" s="8">
        <v>4</v>
      </c>
      <c r="E24" s="8">
        <v>4</v>
      </c>
      <c r="F24" s="6" t="s">
        <v>75</v>
      </c>
    </row>
    <row r="25" spans="1:6" x14ac:dyDescent="0.25">
      <c r="B25" s="6" t="s">
        <v>85</v>
      </c>
      <c r="C25" s="6" t="s">
        <v>4</v>
      </c>
      <c r="D25" s="8">
        <v>1</v>
      </c>
      <c r="E25" s="8">
        <v>1</v>
      </c>
      <c r="F25" s="6" t="s">
        <v>75</v>
      </c>
    </row>
    <row r="26" spans="1:6" x14ac:dyDescent="0.25">
      <c r="B26" s="6" t="s">
        <v>86</v>
      </c>
      <c r="C26" s="6" t="s">
        <v>5</v>
      </c>
      <c r="D26" s="8">
        <v>4</v>
      </c>
      <c r="E26" s="8">
        <v>4</v>
      </c>
      <c r="F26" s="6" t="s">
        <v>75</v>
      </c>
    </row>
    <row r="27" spans="1:6" x14ac:dyDescent="0.25">
      <c r="B27" s="6" t="s">
        <v>87</v>
      </c>
      <c r="C27" s="6" t="s">
        <v>6</v>
      </c>
      <c r="D27" s="8">
        <v>3</v>
      </c>
      <c r="E27" s="8">
        <v>3</v>
      </c>
      <c r="F27" s="6" t="s">
        <v>75</v>
      </c>
    </row>
    <row r="28" spans="1:6" x14ac:dyDescent="0.25">
      <c r="B28" s="6" t="s">
        <v>88</v>
      </c>
      <c r="C28" s="6" t="s">
        <v>7</v>
      </c>
      <c r="D28" s="8">
        <v>3</v>
      </c>
      <c r="E28" s="8">
        <v>3</v>
      </c>
      <c r="F28" s="6" t="s">
        <v>75</v>
      </c>
    </row>
    <row r="29" spans="1:6" x14ac:dyDescent="0.25">
      <c r="B29" s="6" t="s">
        <v>89</v>
      </c>
      <c r="C29" s="6" t="s">
        <v>8</v>
      </c>
      <c r="D29" s="8">
        <v>5</v>
      </c>
      <c r="E29" s="8">
        <v>5</v>
      </c>
      <c r="F29" s="6" t="s">
        <v>75</v>
      </c>
    </row>
    <row r="30" spans="1:6" x14ac:dyDescent="0.25">
      <c r="B30" s="6" t="s">
        <v>90</v>
      </c>
      <c r="C30" s="6" t="s">
        <v>9</v>
      </c>
      <c r="D30" s="8">
        <v>2</v>
      </c>
      <c r="E30" s="8">
        <v>2</v>
      </c>
      <c r="F30" s="6" t="s">
        <v>75</v>
      </c>
    </row>
    <row r="31" spans="1:6" x14ac:dyDescent="0.25">
      <c r="B31" s="6" t="s">
        <v>91</v>
      </c>
      <c r="C31" s="6" t="s">
        <v>10</v>
      </c>
      <c r="D31" s="8">
        <v>5</v>
      </c>
      <c r="E31" s="8">
        <v>5</v>
      </c>
      <c r="F31" s="6" t="s">
        <v>75</v>
      </c>
    </row>
    <row r="32" spans="1:6" x14ac:dyDescent="0.25">
      <c r="B32" s="6" t="s">
        <v>92</v>
      </c>
      <c r="C32" s="6" t="s">
        <v>11</v>
      </c>
      <c r="D32" s="8">
        <v>3</v>
      </c>
      <c r="E32" s="8">
        <v>3</v>
      </c>
      <c r="F32" s="6" t="s">
        <v>75</v>
      </c>
    </row>
    <row r="33" spans="2:6" x14ac:dyDescent="0.25">
      <c r="B33" s="6" t="s">
        <v>93</v>
      </c>
      <c r="C33" s="6" t="s">
        <v>12</v>
      </c>
      <c r="D33" s="8">
        <v>5</v>
      </c>
      <c r="E33" s="8">
        <v>5</v>
      </c>
      <c r="F33" s="6" t="s">
        <v>75</v>
      </c>
    </row>
    <row r="34" spans="2:6" x14ac:dyDescent="0.25">
      <c r="B34" s="6" t="s">
        <v>94</v>
      </c>
      <c r="C34" s="6" t="s">
        <v>13</v>
      </c>
      <c r="D34" s="8">
        <v>2</v>
      </c>
      <c r="E34" s="8">
        <v>2</v>
      </c>
      <c r="F34" s="6" t="s">
        <v>75</v>
      </c>
    </row>
    <row r="35" spans="2:6" x14ac:dyDescent="0.25">
      <c r="B35" s="6" t="s">
        <v>95</v>
      </c>
      <c r="C35" s="6" t="s">
        <v>14</v>
      </c>
      <c r="D35" s="8">
        <v>2</v>
      </c>
      <c r="E35" s="8">
        <v>2</v>
      </c>
      <c r="F35" s="6" t="s">
        <v>75</v>
      </c>
    </row>
    <row r="36" spans="2:6" x14ac:dyDescent="0.25">
      <c r="B36" s="6" t="s">
        <v>96</v>
      </c>
      <c r="C36" s="6" t="s">
        <v>15</v>
      </c>
      <c r="D36" s="8">
        <v>2</v>
      </c>
      <c r="E36" s="8">
        <v>2</v>
      </c>
      <c r="F36" s="6" t="s">
        <v>75</v>
      </c>
    </row>
    <row r="37" spans="2:6" x14ac:dyDescent="0.25">
      <c r="B37" s="6" t="s">
        <v>97</v>
      </c>
      <c r="C37" s="6" t="s">
        <v>16</v>
      </c>
      <c r="D37" s="8">
        <v>20</v>
      </c>
      <c r="E37" s="8">
        <v>20</v>
      </c>
      <c r="F37" s="6" t="s">
        <v>75</v>
      </c>
    </row>
    <row r="38" spans="2:6" x14ac:dyDescent="0.25">
      <c r="B38" s="6" t="s">
        <v>98</v>
      </c>
      <c r="C38" s="6" t="s">
        <v>17</v>
      </c>
      <c r="D38" s="8">
        <v>5</v>
      </c>
      <c r="E38" s="8">
        <v>5</v>
      </c>
      <c r="F38" s="6" t="s">
        <v>75</v>
      </c>
    </row>
    <row r="39" spans="2:6" x14ac:dyDescent="0.25">
      <c r="B39" s="6" t="s">
        <v>99</v>
      </c>
      <c r="C39" s="6" t="s">
        <v>18</v>
      </c>
      <c r="D39" s="8">
        <v>5</v>
      </c>
      <c r="E39" s="8">
        <v>5</v>
      </c>
      <c r="F39" s="6" t="s">
        <v>75</v>
      </c>
    </row>
    <row r="40" spans="2:6" x14ac:dyDescent="0.25">
      <c r="B40" s="6" t="s">
        <v>100</v>
      </c>
      <c r="C40" s="6" t="s">
        <v>19</v>
      </c>
      <c r="D40" s="8">
        <v>6</v>
      </c>
      <c r="E40" s="8">
        <v>6</v>
      </c>
      <c r="F40" s="6" t="s">
        <v>75</v>
      </c>
    </row>
    <row r="41" spans="2:6" x14ac:dyDescent="0.25">
      <c r="B41" s="6" t="s">
        <v>101</v>
      </c>
      <c r="C41" s="6" t="s">
        <v>20</v>
      </c>
      <c r="D41" s="8">
        <v>50</v>
      </c>
      <c r="E41" s="8">
        <v>45</v>
      </c>
      <c r="F41" s="6" t="s">
        <v>75</v>
      </c>
    </row>
    <row r="42" spans="2:6" x14ac:dyDescent="0.25">
      <c r="B42" s="6" t="s">
        <v>102</v>
      </c>
      <c r="C42" s="6" t="s">
        <v>21</v>
      </c>
      <c r="D42" s="8">
        <v>4</v>
      </c>
      <c r="E42" s="8">
        <v>4</v>
      </c>
      <c r="F42" s="6" t="s">
        <v>75</v>
      </c>
    </row>
    <row r="43" spans="2:6" x14ac:dyDescent="0.25">
      <c r="B43" s="6" t="s">
        <v>103</v>
      </c>
      <c r="C43" s="6" t="s">
        <v>22</v>
      </c>
      <c r="D43" s="8">
        <v>10</v>
      </c>
      <c r="E43" s="8">
        <v>10</v>
      </c>
      <c r="F43" s="6" t="s">
        <v>75</v>
      </c>
    </row>
    <row r="44" spans="2:6" x14ac:dyDescent="0.25">
      <c r="B44" s="6" t="s">
        <v>104</v>
      </c>
      <c r="C44" s="6" t="s">
        <v>23</v>
      </c>
      <c r="D44" s="8">
        <v>10</v>
      </c>
      <c r="E44" s="8">
        <v>10</v>
      </c>
      <c r="F44" s="6" t="s">
        <v>75</v>
      </c>
    </row>
    <row r="45" spans="2:6" x14ac:dyDescent="0.25">
      <c r="B45" s="6" t="s">
        <v>105</v>
      </c>
      <c r="C45" s="6" t="s">
        <v>24</v>
      </c>
      <c r="D45" s="8">
        <v>50</v>
      </c>
      <c r="E45" s="8">
        <v>50</v>
      </c>
      <c r="F45" s="6" t="s">
        <v>75</v>
      </c>
    </row>
    <row r="46" spans="2:6" x14ac:dyDescent="0.25">
      <c r="B46" s="6" t="s">
        <v>106</v>
      </c>
      <c r="C46" s="6" t="s">
        <v>25</v>
      </c>
      <c r="D46" s="8">
        <v>5</v>
      </c>
      <c r="E46" s="8">
        <v>5</v>
      </c>
      <c r="F46" s="6" t="s">
        <v>75</v>
      </c>
    </row>
    <row r="47" spans="2:6" x14ac:dyDescent="0.25">
      <c r="B47" s="6" t="s">
        <v>107</v>
      </c>
      <c r="C47" s="6" t="s">
        <v>26</v>
      </c>
      <c r="D47" s="8">
        <v>5</v>
      </c>
      <c r="E47" s="8">
        <v>5</v>
      </c>
      <c r="F47" s="6" t="s">
        <v>75</v>
      </c>
    </row>
    <row r="48" spans="2:6" x14ac:dyDescent="0.25">
      <c r="B48" s="6" t="s">
        <v>108</v>
      </c>
      <c r="C48" s="6" t="s">
        <v>27</v>
      </c>
      <c r="D48" s="8">
        <v>10</v>
      </c>
      <c r="E48" s="8">
        <v>10</v>
      </c>
      <c r="F48" s="6" t="s">
        <v>75</v>
      </c>
    </row>
    <row r="49" spans="2:6" x14ac:dyDescent="0.25">
      <c r="B49" s="6" t="s">
        <v>109</v>
      </c>
      <c r="C49" s="6" t="s">
        <v>28</v>
      </c>
      <c r="D49" s="8">
        <v>3</v>
      </c>
      <c r="E49" s="8">
        <v>3</v>
      </c>
      <c r="F49" s="6" t="s">
        <v>75</v>
      </c>
    </row>
    <row r="50" spans="2:6" x14ac:dyDescent="0.25">
      <c r="B50" s="6" t="s">
        <v>110</v>
      </c>
      <c r="C50" s="6" t="s">
        <v>29</v>
      </c>
      <c r="D50" s="8">
        <v>50</v>
      </c>
      <c r="E50" s="8">
        <v>50</v>
      </c>
      <c r="F50" s="6" t="s">
        <v>75</v>
      </c>
    </row>
    <row r="51" spans="2:6" x14ac:dyDescent="0.25">
      <c r="B51" s="6" t="s">
        <v>210</v>
      </c>
      <c r="C51" s="6" t="s">
        <v>30</v>
      </c>
      <c r="D51" s="8">
        <v>5</v>
      </c>
      <c r="E51" s="8">
        <v>5</v>
      </c>
      <c r="F51" s="6" t="s">
        <v>75</v>
      </c>
    </row>
    <row r="52" spans="2:6" x14ac:dyDescent="0.25">
      <c r="B52" s="6" t="s">
        <v>211</v>
      </c>
      <c r="C52" s="6" t="s">
        <v>31</v>
      </c>
      <c r="D52" s="8">
        <v>10</v>
      </c>
      <c r="E52" s="8">
        <v>10</v>
      </c>
      <c r="F52" s="6" t="s">
        <v>75</v>
      </c>
    </row>
    <row r="53" spans="2:6" x14ac:dyDescent="0.25">
      <c r="B53" s="6" t="s">
        <v>212</v>
      </c>
      <c r="C53" s="6" t="s">
        <v>32</v>
      </c>
      <c r="D53" s="8">
        <v>10</v>
      </c>
      <c r="E53" s="8">
        <v>10</v>
      </c>
      <c r="F53" s="6" t="s">
        <v>75</v>
      </c>
    </row>
    <row r="54" spans="2:6" x14ac:dyDescent="0.25">
      <c r="B54" s="6" t="s">
        <v>213</v>
      </c>
      <c r="C54" s="6" t="s">
        <v>33</v>
      </c>
      <c r="D54" s="8">
        <v>5</v>
      </c>
      <c r="E54" s="8">
        <v>5</v>
      </c>
      <c r="F54" s="6" t="s">
        <v>75</v>
      </c>
    </row>
    <row r="55" spans="2:6" x14ac:dyDescent="0.25">
      <c r="B55" s="6" t="s">
        <v>214</v>
      </c>
      <c r="C55" s="6" t="s">
        <v>34</v>
      </c>
      <c r="D55" s="8">
        <v>5</v>
      </c>
      <c r="E55" s="8">
        <v>5</v>
      </c>
      <c r="F55" s="6" t="s">
        <v>75</v>
      </c>
    </row>
    <row r="56" spans="2:6" x14ac:dyDescent="0.25">
      <c r="B56" s="6" t="s">
        <v>215</v>
      </c>
      <c r="C56" s="6" t="s">
        <v>35</v>
      </c>
      <c r="D56" s="8">
        <v>5</v>
      </c>
      <c r="E56" s="8">
        <v>5</v>
      </c>
      <c r="F56" s="6" t="s">
        <v>75</v>
      </c>
    </row>
    <row r="57" spans="2:6" x14ac:dyDescent="0.25">
      <c r="B57" s="6" t="s">
        <v>216</v>
      </c>
      <c r="C57" s="6" t="s">
        <v>36</v>
      </c>
      <c r="D57" s="8">
        <v>11</v>
      </c>
      <c r="E57" s="8">
        <v>5</v>
      </c>
      <c r="F57" s="6" t="s">
        <v>75</v>
      </c>
    </row>
    <row r="58" spans="2:6" x14ac:dyDescent="0.25">
      <c r="B58" s="6" t="s">
        <v>217</v>
      </c>
      <c r="C58" s="6" t="s">
        <v>37</v>
      </c>
      <c r="D58" s="8">
        <v>5</v>
      </c>
      <c r="E58" s="8">
        <v>5</v>
      </c>
      <c r="F58" s="6" t="s">
        <v>75</v>
      </c>
    </row>
    <row r="59" spans="2:6" x14ac:dyDescent="0.25">
      <c r="B59" s="6" t="s">
        <v>218</v>
      </c>
      <c r="C59" s="6" t="s">
        <v>38</v>
      </c>
      <c r="D59" s="8">
        <v>20</v>
      </c>
      <c r="E59" s="8">
        <v>20</v>
      </c>
      <c r="F59" s="6" t="s">
        <v>75</v>
      </c>
    </row>
    <row r="60" spans="2:6" x14ac:dyDescent="0.25">
      <c r="B60" s="6" t="s">
        <v>219</v>
      </c>
      <c r="C60" s="6" t="s">
        <v>39</v>
      </c>
      <c r="D60" s="8">
        <v>5</v>
      </c>
      <c r="E60" s="8">
        <v>5</v>
      </c>
      <c r="F60" s="6" t="s">
        <v>75</v>
      </c>
    </row>
    <row r="61" spans="2:6" x14ac:dyDescent="0.25">
      <c r="B61" s="6" t="s">
        <v>220</v>
      </c>
      <c r="C61" s="6" t="s">
        <v>40</v>
      </c>
      <c r="D61" s="8">
        <v>2</v>
      </c>
      <c r="E61" s="8">
        <v>2</v>
      </c>
      <c r="F61" s="6" t="s">
        <v>75</v>
      </c>
    </row>
    <row r="62" spans="2:6" x14ac:dyDescent="0.25">
      <c r="B62" s="6" t="s">
        <v>221</v>
      </c>
      <c r="C62" s="6" t="s">
        <v>41</v>
      </c>
      <c r="D62" s="8">
        <v>50</v>
      </c>
      <c r="E62" s="8">
        <v>50</v>
      </c>
      <c r="F62" s="6" t="s">
        <v>75</v>
      </c>
    </row>
    <row r="63" spans="2:6" x14ac:dyDescent="0.25">
      <c r="B63" s="6" t="s">
        <v>222</v>
      </c>
      <c r="C63" s="6" t="s">
        <v>42</v>
      </c>
      <c r="D63" s="8">
        <v>3</v>
      </c>
      <c r="E63" s="8">
        <v>3</v>
      </c>
      <c r="F63" s="6" t="s">
        <v>75</v>
      </c>
    </row>
    <row r="64" spans="2:6" x14ac:dyDescent="0.25">
      <c r="B64" s="6" t="s">
        <v>223</v>
      </c>
      <c r="C64" s="6" t="s">
        <v>43</v>
      </c>
      <c r="D64" s="8">
        <v>2</v>
      </c>
      <c r="E64" s="8">
        <v>2</v>
      </c>
      <c r="F64" s="6" t="s">
        <v>75</v>
      </c>
    </row>
    <row r="65" spans="1:7" x14ac:dyDescent="0.25">
      <c r="B65" s="6" t="s">
        <v>224</v>
      </c>
      <c r="C65" s="6" t="s">
        <v>44</v>
      </c>
      <c r="D65" s="8">
        <v>50</v>
      </c>
      <c r="E65" s="8">
        <v>50</v>
      </c>
      <c r="F65" s="6" t="s">
        <v>75</v>
      </c>
    </row>
    <row r="66" spans="1:7" x14ac:dyDescent="0.25">
      <c r="B66" s="6" t="s">
        <v>225</v>
      </c>
      <c r="C66" s="6" t="s">
        <v>45</v>
      </c>
      <c r="D66" s="8">
        <v>20</v>
      </c>
      <c r="E66" s="8">
        <v>20</v>
      </c>
      <c r="F66" s="6" t="s">
        <v>75</v>
      </c>
    </row>
    <row r="67" spans="1:7" x14ac:dyDescent="0.25">
      <c r="B67" s="6" t="s">
        <v>226</v>
      </c>
      <c r="C67" s="6" t="s">
        <v>46</v>
      </c>
      <c r="D67" s="8">
        <v>2</v>
      </c>
      <c r="E67" s="8">
        <v>2</v>
      </c>
      <c r="F67" s="6" t="s">
        <v>75</v>
      </c>
    </row>
    <row r="68" spans="1:7" x14ac:dyDescent="0.25">
      <c r="B68" s="6" t="s">
        <v>227</v>
      </c>
      <c r="C68" s="6" t="s">
        <v>47</v>
      </c>
      <c r="D68" s="8">
        <v>1</v>
      </c>
      <c r="E68" s="8">
        <v>1</v>
      </c>
      <c r="F68" s="6" t="s">
        <v>75</v>
      </c>
    </row>
    <row r="69" spans="1:7" x14ac:dyDescent="0.25">
      <c r="B69" s="6" t="s">
        <v>228</v>
      </c>
      <c r="C69" s="6" t="s">
        <v>48</v>
      </c>
      <c r="D69" s="8">
        <v>3</v>
      </c>
      <c r="E69" s="8">
        <v>3</v>
      </c>
      <c r="F69" s="6" t="s">
        <v>75</v>
      </c>
    </row>
    <row r="70" spans="1:7" x14ac:dyDescent="0.25">
      <c r="B70" s="6" t="s">
        <v>229</v>
      </c>
      <c r="C70" s="6" t="s">
        <v>49</v>
      </c>
      <c r="D70" s="8">
        <v>4</v>
      </c>
      <c r="E70" s="8">
        <v>4</v>
      </c>
      <c r="F70" s="6" t="s">
        <v>75</v>
      </c>
    </row>
    <row r="71" spans="1:7" x14ac:dyDescent="0.25">
      <c r="B71" s="6" t="s">
        <v>405</v>
      </c>
      <c r="C71" s="6" t="s">
        <v>398</v>
      </c>
      <c r="D71" s="8">
        <v>3</v>
      </c>
      <c r="E71" s="8">
        <v>4</v>
      </c>
      <c r="F71" s="6" t="s">
        <v>75</v>
      </c>
    </row>
    <row r="72" spans="1:7" ht="15.75" thickBot="1" x14ac:dyDescent="0.3">
      <c r="B72" s="4" t="s">
        <v>406</v>
      </c>
      <c r="C72" s="4" t="s">
        <v>399</v>
      </c>
      <c r="D72" s="7">
        <v>5</v>
      </c>
      <c r="E72" s="7">
        <v>10</v>
      </c>
      <c r="F72" s="4" t="s">
        <v>75</v>
      </c>
    </row>
    <row r="75" spans="1:7" ht="15.75" thickBot="1" x14ac:dyDescent="0.3">
      <c r="A75" t="s">
        <v>51</v>
      </c>
    </row>
    <row r="76" spans="1:7" ht="15.75" thickBot="1" x14ac:dyDescent="0.3">
      <c r="B76" s="9" t="s">
        <v>70</v>
      </c>
      <c r="C76" s="9" t="s">
        <v>71</v>
      </c>
      <c r="D76" s="9" t="s">
        <v>76</v>
      </c>
      <c r="E76" s="9" t="s">
        <v>77</v>
      </c>
      <c r="F76" s="9" t="s">
        <v>78</v>
      </c>
      <c r="G76" s="9" t="s">
        <v>79</v>
      </c>
    </row>
    <row r="77" spans="1:7" x14ac:dyDescent="0.25">
      <c r="B77" s="6" t="s">
        <v>409</v>
      </c>
      <c r="C77" s="6" t="s">
        <v>57</v>
      </c>
      <c r="D77" s="8">
        <v>16</v>
      </c>
      <c r="E77" s="6" t="s">
        <v>410</v>
      </c>
      <c r="F77" s="6" t="s">
        <v>113</v>
      </c>
      <c r="G77" s="8">
        <v>11</v>
      </c>
    </row>
    <row r="78" spans="1:7" x14ac:dyDescent="0.25">
      <c r="B78" s="6" t="s">
        <v>411</v>
      </c>
      <c r="C78" s="6" t="s">
        <v>57</v>
      </c>
      <c r="D78" s="8">
        <v>5</v>
      </c>
      <c r="E78" s="6" t="s">
        <v>412</v>
      </c>
      <c r="F78" s="6" t="s">
        <v>126</v>
      </c>
      <c r="G78" s="8">
        <v>0</v>
      </c>
    </row>
    <row r="79" spans="1:7" x14ac:dyDescent="0.25">
      <c r="B79" s="6" t="s">
        <v>413</v>
      </c>
      <c r="C79" s="6" t="s">
        <v>57</v>
      </c>
      <c r="D79" s="8">
        <v>5</v>
      </c>
      <c r="E79" s="6" t="s">
        <v>414</v>
      </c>
      <c r="F79" s="6" t="s">
        <v>126</v>
      </c>
      <c r="G79" s="8">
        <v>0</v>
      </c>
    </row>
    <row r="80" spans="1:7" x14ac:dyDescent="0.25">
      <c r="B80" s="6" t="s">
        <v>415</v>
      </c>
      <c r="C80" s="6" t="s">
        <v>57</v>
      </c>
      <c r="D80" s="8">
        <v>4</v>
      </c>
      <c r="E80" s="6" t="s">
        <v>416</v>
      </c>
      <c r="F80" s="6" t="s">
        <v>126</v>
      </c>
      <c r="G80" s="8">
        <v>0</v>
      </c>
    </row>
    <row r="81" spans="2:7" x14ac:dyDescent="0.25">
      <c r="B81" s="6" t="s">
        <v>417</v>
      </c>
      <c r="C81" s="6" t="s">
        <v>57</v>
      </c>
      <c r="D81" s="8">
        <v>1</v>
      </c>
      <c r="E81" s="6" t="s">
        <v>418</v>
      </c>
      <c r="F81" s="6" t="s">
        <v>126</v>
      </c>
      <c r="G81" s="8">
        <v>0</v>
      </c>
    </row>
    <row r="82" spans="2:7" x14ac:dyDescent="0.25">
      <c r="B82" s="6" t="s">
        <v>419</v>
      </c>
      <c r="C82" s="6" t="s">
        <v>57</v>
      </c>
      <c r="D82" s="8">
        <v>4</v>
      </c>
      <c r="E82" s="6" t="s">
        <v>420</v>
      </c>
      <c r="F82" s="6" t="s">
        <v>126</v>
      </c>
      <c r="G82" s="8">
        <v>0</v>
      </c>
    </row>
    <row r="83" spans="2:7" x14ac:dyDescent="0.25">
      <c r="B83" s="6" t="s">
        <v>421</v>
      </c>
      <c r="C83" s="6" t="s">
        <v>57</v>
      </c>
      <c r="D83" s="8">
        <v>3</v>
      </c>
      <c r="E83" s="6" t="s">
        <v>422</v>
      </c>
      <c r="F83" s="6" t="s">
        <v>126</v>
      </c>
      <c r="G83" s="8">
        <v>0</v>
      </c>
    </row>
    <row r="84" spans="2:7" x14ac:dyDescent="0.25">
      <c r="B84" s="6" t="s">
        <v>423</v>
      </c>
      <c r="C84" s="6" t="s">
        <v>57</v>
      </c>
      <c r="D84" s="8">
        <v>3</v>
      </c>
      <c r="E84" s="6" t="s">
        <v>424</v>
      </c>
      <c r="F84" s="6" t="s">
        <v>126</v>
      </c>
      <c r="G84" s="8">
        <v>0</v>
      </c>
    </row>
    <row r="85" spans="2:7" x14ac:dyDescent="0.25">
      <c r="B85" s="6" t="s">
        <v>425</v>
      </c>
      <c r="C85" s="6" t="s">
        <v>57</v>
      </c>
      <c r="D85" s="8">
        <v>5</v>
      </c>
      <c r="E85" s="6" t="s">
        <v>426</v>
      </c>
      <c r="F85" s="6" t="s">
        <v>126</v>
      </c>
      <c r="G85" s="8">
        <v>0</v>
      </c>
    </row>
    <row r="86" spans="2:7" x14ac:dyDescent="0.25">
      <c r="B86" s="6" t="s">
        <v>427</v>
      </c>
      <c r="C86" s="6" t="s">
        <v>57</v>
      </c>
      <c r="D86" s="8">
        <v>2</v>
      </c>
      <c r="E86" s="6" t="s">
        <v>428</v>
      </c>
      <c r="F86" s="6" t="s">
        <v>113</v>
      </c>
      <c r="G86" s="8">
        <v>1</v>
      </c>
    </row>
    <row r="87" spans="2:7" x14ac:dyDescent="0.25">
      <c r="B87" s="6" t="s">
        <v>429</v>
      </c>
      <c r="C87" s="6" t="s">
        <v>57</v>
      </c>
      <c r="D87" s="8">
        <v>5</v>
      </c>
      <c r="E87" s="6" t="s">
        <v>430</v>
      </c>
      <c r="F87" s="6" t="s">
        <v>126</v>
      </c>
      <c r="G87" s="8">
        <v>0</v>
      </c>
    </row>
    <row r="88" spans="2:7" x14ac:dyDescent="0.25">
      <c r="B88" s="6" t="s">
        <v>431</v>
      </c>
      <c r="C88" s="6" t="s">
        <v>57</v>
      </c>
      <c r="D88" s="8">
        <v>3</v>
      </c>
      <c r="E88" s="6" t="s">
        <v>432</v>
      </c>
      <c r="F88" s="6" t="s">
        <v>126</v>
      </c>
      <c r="G88" s="8">
        <v>0</v>
      </c>
    </row>
    <row r="89" spans="2:7" x14ac:dyDescent="0.25">
      <c r="B89" s="6" t="s">
        <v>433</v>
      </c>
      <c r="C89" s="6" t="s">
        <v>57</v>
      </c>
      <c r="D89" s="8">
        <v>5</v>
      </c>
      <c r="E89" s="6" t="s">
        <v>434</v>
      </c>
      <c r="F89" s="6" t="s">
        <v>126</v>
      </c>
      <c r="G89" s="8">
        <v>0</v>
      </c>
    </row>
    <row r="90" spans="2:7" x14ac:dyDescent="0.25">
      <c r="B90" s="6" t="s">
        <v>435</v>
      </c>
      <c r="C90" s="6" t="s">
        <v>57</v>
      </c>
      <c r="D90" s="8">
        <v>2</v>
      </c>
      <c r="E90" s="6" t="s">
        <v>436</v>
      </c>
      <c r="F90" s="6" t="s">
        <v>113</v>
      </c>
      <c r="G90" s="8">
        <v>1</v>
      </c>
    </row>
    <row r="91" spans="2:7" x14ac:dyDescent="0.25">
      <c r="B91" s="6" t="s">
        <v>437</v>
      </c>
      <c r="C91" s="6" t="s">
        <v>57</v>
      </c>
      <c r="D91" s="8">
        <v>2</v>
      </c>
      <c r="E91" s="6" t="s">
        <v>438</v>
      </c>
      <c r="F91" s="6" t="s">
        <v>113</v>
      </c>
      <c r="G91" s="8">
        <v>1</v>
      </c>
    </row>
    <row r="92" spans="2:7" x14ac:dyDescent="0.25">
      <c r="B92" s="6" t="s">
        <v>439</v>
      </c>
      <c r="C92" s="6" t="s">
        <v>57</v>
      </c>
      <c r="D92" s="8">
        <v>2</v>
      </c>
      <c r="E92" s="6" t="s">
        <v>440</v>
      </c>
      <c r="F92" s="6" t="s">
        <v>126</v>
      </c>
      <c r="G92" s="8">
        <v>0</v>
      </c>
    </row>
    <row r="93" spans="2:7" x14ac:dyDescent="0.25">
      <c r="B93" s="6" t="s">
        <v>441</v>
      </c>
      <c r="C93" s="6" t="s">
        <v>57</v>
      </c>
      <c r="D93" s="8">
        <v>20</v>
      </c>
      <c r="E93" s="6" t="s">
        <v>442</v>
      </c>
      <c r="F93" s="6" t="s">
        <v>126</v>
      </c>
      <c r="G93" s="8">
        <v>0</v>
      </c>
    </row>
    <row r="94" spans="2:7" x14ac:dyDescent="0.25">
      <c r="B94" s="6" t="s">
        <v>443</v>
      </c>
      <c r="C94" s="6" t="s">
        <v>57</v>
      </c>
      <c r="D94" s="8">
        <v>5</v>
      </c>
      <c r="E94" s="6" t="s">
        <v>444</v>
      </c>
      <c r="F94" s="6" t="s">
        <v>113</v>
      </c>
      <c r="G94" s="8">
        <v>3</v>
      </c>
    </row>
    <row r="95" spans="2:7" x14ac:dyDescent="0.25">
      <c r="B95" s="6" t="s">
        <v>445</v>
      </c>
      <c r="C95" s="6" t="s">
        <v>57</v>
      </c>
      <c r="D95" s="8">
        <v>5</v>
      </c>
      <c r="E95" s="6" t="s">
        <v>446</v>
      </c>
      <c r="F95" s="6" t="s">
        <v>126</v>
      </c>
      <c r="G95" s="8">
        <v>0</v>
      </c>
    </row>
    <row r="96" spans="2:7" x14ac:dyDescent="0.25">
      <c r="B96" s="6" t="s">
        <v>447</v>
      </c>
      <c r="C96" s="6" t="s">
        <v>57</v>
      </c>
      <c r="D96" s="8">
        <v>6</v>
      </c>
      <c r="E96" s="6" t="s">
        <v>448</v>
      </c>
      <c r="F96" s="6" t="s">
        <v>126</v>
      </c>
      <c r="G96" s="8">
        <v>0</v>
      </c>
    </row>
    <row r="97" spans="2:7" x14ac:dyDescent="0.25">
      <c r="B97" s="6" t="s">
        <v>449</v>
      </c>
      <c r="C97" s="6" t="s">
        <v>57</v>
      </c>
      <c r="D97" s="8">
        <v>45</v>
      </c>
      <c r="E97" s="6" t="s">
        <v>450</v>
      </c>
      <c r="F97" s="6" t="s">
        <v>113</v>
      </c>
      <c r="G97" s="8">
        <v>43</v>
      </c>
    </row>
    <row r="98" spans="2:7" x14ac:dyDescent="0.25">
      <c r="B98" s="6" t="s">
        <v>451</v>
      </c>
      <c r="C98" s="6" t="s">
        <v>57</v>
      </c>
      <c r="D98" s="8">
        <v>4</v>
      </c>
      <c r="E98" s="6" t="s">
        <v>452</v>
      </c>
      <c r="F98" s="6" t="s">
        <v>126</v>
      </c>
      <c r="G98" s="8">
        <v>0</v>
      </c>
    </row>
    <row r="99" spans="2:7" x14ac:dyDescent="0.25">
      <c r="B99" s="6" t="s">
        <v>453</v>
      </c>
      <c r="C99" s="6" t="s">
        <v>57</v>
      </c>
      <c r="D99" s="8">
        <v>10</v>
      </c>
      <c r="E99" s="6" t="s">
        <v>454</v>
      </c>
      <c r="F99" s="6" t="s">
        <v>113</v>
      </c>
      <c r="G99" s="8">
        <v>9</v>
      </c>
    </row>
    <row r="100" spans="2:7" x14ac:dyDescent="0.25">
      <c r="B100" s="6" t="s">
        <v>455</v>
      </c>
      <c r="C100" s="6" t="s">
        <v>57</v>
      </c>
      <c r="D100" s="8">
        <v>10</v>
      </c>
      <c r="E100" s="6" t="s">
        <v>456</v>
      </c>
      <c r="F100" s="6" t="s">
        <v>113</v>
      </c>
      <c r="G100" s="8">
        <v>9</v>
      </c>
    </row>
    <row r="101" spans="2:7" x14ac:dyDescent="0.25">
      <c r="B101" s="6" t="s">
        <v>457</v>
      </c>
      <c r="C101" s="6" t="s">
        <v>57</v>
      </c>
      <c r="D101" s="8">
        <v>50</v>
      </c>
      <c r="E101" s="6" t="s">
        <v>458</v>
      </c>
      <c r="F101" s="6" t="s">
        <v>113</v>
      </c>
      <c r="G101" s="8">
        <v>48</v>
      </c>
    </row>
    <row r="102" spans="2:7" x14ac:dyDescent="0.25">
      <c r="B102" s="6" t="s">
        <v>459</v>
      </c>
      <c r="C102" s="6" t="s">
        <v>57</v>
      </c>
      <c r="D102" s="8">
        <v>5</v>
      </c>
      <c r="E102" s="6" t="s">
        <v>460</v>
      </c>
      <c r="F102" s="6" t="s">
        <v>113</v>
      </c>
      <c r="G102" s="8">
        <v>4</v>
      </c>
    </row>
    <row r="103" spans="2:7" x14ac:dyDescent="0.25">
      <c r="B103" s="6" t="s">
        <v>461</v>
      </c>
      <c r="C103" s="6" t="s">
        <v>57</v>
      </c>
      <c r="D103" s="8">
        <v>5</v>
      </c>
      <c r="E103" s="6" t="s">
        <v>462</v>
      </c>
      <c r="F103" s="6" t="s">
        <v>113</v>
      </c>
      <c r="G103" s="8">
        <v>4</v>
      </c>
    </row>
    <row r="104" spans="2:7" x14ac:dyDescent="0.25">
      <c r="B104" s="6" t="s">
        <v>463</v>
      </c>
      <c r="C104" s="6" t="s">
        <v>57</v>
      </c>
      <c r="D104" s="8">
        <v>10</v>
      </c>
      <c r="E104" s="6" t="s">
        <v>464</v>
      </c>
      <c r="F104" s="6" t="s">
        <v>113</v>
      </c>
      <c r="G104" s="8">
        <v>9</v>
      </c>
    </row>
    <row r="105" spans="2:7" x14ac:dyDescent="0.25">
      <c r="B105" s="6" t="s">
        <v>465</v>
      </c>
      <c r="C105" s="6" t="s">
        <v>57</v>
      </c>
      <c r="D105" s="8">
        <v>3</v>
      </c>
      <c r="E105" s="6" t="s">
        <v>466</v>
      </c>
      <c r="F105" s="6" t="s">
        <v>113</v>
      </c>
      <c r="G105" s="8">
        <v>2</v>
      </c>
    </row>
    <row r="106" spans="2:7" x14ac:dyDescent="0.25">
      <c r="B106" s="6" t="s">
        <v>467</v>
      </c>
      <c r="C106" s="6" t="s">
        <v>57</v>
      </c>
      <c r="D106" s="8">
        <v>50</v>
      </c>
      <c r="E106" s="6" t="s">
        <v>468</v>
      </c>
      <c r="F106" s="6" t="s">
        <v>113</v>
      </c>
      <c r="G106" s="8">
        <v>47</v>
      </c>
    </row>
    <row r="107" spans="2:7" x14ac:dyDescent="0.25">
      <c r="B107" s="6" t="s">
        <v>469</v>
      </c>
      <c r="C107" s="6" t="s">
        <v>57</v>
      </c>
      <c r="D107" s="8">
        <v>5</v>
      </c>
      <c r="E107" s="6" t="s">
        <v>470</v>
      </c>
      <c r="F107" s="6" t="s">
        <v>126</v>
      </c>
      <c r="G107" s="8">
        <v>0</v>
      </c>
    </row>
    <row r="108" spans="2:7" x14ac:dyDescent="0.25">
      <c r="B108" s="6" t="s">
        <v>471</v>
      </c>
      <c r="C108" s="6" t="s">
        <v>57</v>
      </c>
      <c r="D108" s="8">
        <v>10</v>
      </c>
      <c r="E108" s="6" t="s">
        <v>472</v>
      </c>
      <c r="F108" s="6" t="s">
        <v>113</v>
      </c>
      <c r="G108" s="8">
        <v>9</v>
      </c>
    </row>
    <row r="109" spans="2:7" x14ac:dyDescent="0.25">
      <c r="B109" s="6" t="s">
        <v>473</v>
      </c>
      <c r="C109" s="6" t="s">
        <v>57</v>
      </c>
      <c r="D109" s="8">
        <v>10</v>
      </c>
      <c r="E109" s="6" t="s">
        <v>474</v>
      </c>
      <c r="F109" s="6" t="s">
        <v>113</v>
      </c>
      <c r="G109" s="8">
        <v>9</v>
      </c>
    </row>
    <row r="110" spans="2:7" x14ac:dyDescent="0.25">
      <c r="B110" s="6" t="s">
        <v>475</v>
      </c>
      <c r="C110" s="6" t="s">
        <v>57</v>
      </c>
      <c r="D110" s="8">
        <v>5</v>
      </c>
      <c r="E110" s="6" t="s">
        <v>476</v>
      </c>
      <c r="F110" s="6" t="s">
        <v>126</v>
      </c>
      <c r="G110" s="8">
        <v>0</v>
      </c>
    </row>
    <row r="111" spans="2:7" x14ac:dyDescent="0.25">
      <c r="B111" s="6" t="s">
        <v>477</v>
      </c>
      <c r="C111" s="6" t="s">
        <v>57</v>
      </c>
      <c r="D111" s="8">
        <v>5</v>
      </c>
      <c r="E111" s="6" t="s">
        <v>478</v>
      </c>
      <c r="F111" s="6" t="s">
        <v>113</v>
      </c>
      <c r="G111" s="8">
        <v>4</v>
      </c>
    </row>
    <row r="112" spans="2:7" x14ac:dyDescent="0.25">
      <c r="B112" s="6" t="s">
        <v>479</v>
      </c>
      <c r="C112" s="6" t="s">
        <v>57</v>
      </c>
      <c r="D112" s="8">
        <v>5</v>
      </c>
      <c r="E112" s="6" t="s">
        <v>480</v>
      </c>
      <c r="F112" s="6" t="s">
        <v>113</v>
      </c>
      <c r="G112" s="8">
        <v>4</v>
      </c>
    </row>
    <row r="113" spans="2:7" x14ac:dyDescent="0.25">
      <c r="B113" s="6" t="s">
        <v>481</v>
      </c>
      <c r="C113" s="6" t="s">
        <v>57</v>
      </c>
      <c r="D113" s="8">
        <v>5</v>
      </c>
      <c r="E113" s="6" t="s">
        <v>482</v>
      </c>
      <c r="F113" s="6" t="s">
        <v>126</v>
      </c>
      <c r="G113" s="8">
        <v>0</v>
      </c>
    </row>
    <row r="114" spans="2:7" x14ac:dyDescent="0.25">
      <c r="B114" s="6" t="s">
        <v>483</v>
      </c>
      <c r="C114" s="6" t="s">
        <v>57</v>
      </c>
      <c r="D114" s="8">
        <v>5</v>
      </c>
      <c r="E114" s="6" t="s">
        <v>484</v>
      </c>
      <c r="F114" s="6" t="s">
        <v>126</v>
      </c>
      <c r="G114" s="8">
        <v>0</v>
      </c>
    </row>
    <row r="115" spans="2:7" x14ac:dyDescent="0.25">
      <c r="B115" s="6" t="s">
        <v>485</v>
      </c>
      <c r="C115" s="6" t="s">
        <v>57</v>
      </c>
      <c r="D115" s="8">
        <v>20</v>
      </c>
      <c r="E115" s="6" t="s">
        <v>486</v>
      </c>
      <c r="F115" s="6" t="s">
        <v>113</v>
      </c>
      <c r="G115" s="8">
        <v>15</v>
      </c>
    </row>
    <row r="116" spans="2:7" x14ac:dyDescent="0.25">
      <c r="B116" s="6" t="s">
        <v>487</v>
      </c>
      <c r="C116" s="6" t="s">
        <v>57</v>
      </c>
      <c r="D116" s="8">
        <v>5</v>
      </c>
      <c r="E116" s="6" t="s">
        <v>488</v>
      </c>
      <c r="F116" s="6" t="s">
        <v>113</v>
      </c>
      <c r="G116" s="8">
        <v>4</v>
      </c>
    </row>
    <row r="117" spans="2:7" x14ac:dyDescent="0.25">
      <c r="B117" s="6" t="s">
        <v>489</v>
      </c>
      <c r="C117" s="6" t="s">
        <v>57</v>
      </c>
      <c r="D117" s="8">
        <v>2</v>
      </c>
      <c r="E117" s="6" t="s">
        <v>490</v>
      </c>
      <c r="F117" s="6" t="s">
        <v>113</v>
      </c>
      <c r="G117" s="8">
        <v>1</v>
      </c>
    </row>
    <row r="118" spans="2:7" x14ac:dyDescent="0.25">
      <c r="B118" s="6" t="s">
        <v>491</v>
      </c>
      <c r="C118" s="6" t="s">
        <v>57</v>
      </c>
      <c r="D118" s="8">
        <v>50</v>
      </c>
      <c r="E118" s="6" t="s">
        <v>492</v>
      </c>
      <c r="F118" s="6" t="s">
        <v>113</v>
      </c>
      <c r="G118" s="8">
        <v>47</v>
      </c>
    </row>
    <row r="119" spans="2:7" x14ac:dyDescent="0.25">
      <c r="B119" s="6" t="s">
        <v>493</v>
      </c>
      <c r="C119" s="6" t="s">
        <v>57</v>
      </c>
      <c r="D119" s="8">
        <v>3</v>
      </c>
      <c r="E119" s="6" t="s">
        <v>494</v>
      </c>
      <c r="F119" s="6" t="s">
        <v>113</v>
      </c>
      <c r="G119" s="8">
        <v>2</v>
      </c>
    </row>
    <row r="120" spans="2:7" x14ac:dyDescent="0.25">
      <c r="B120" s="6" t="s">
        <v>495</v>
      </c>
      <c r="C120" s="6" t="s">
        <v>57</v>
      </c>
      <c r="D120" s="8">
        <v>2</v>
      </c>
      <c r="E120" s="6" t="s">
        <v>496</v>
      </c>
      <c r="F120" s="6" t="s">
        <v>113</v>
      </c>
      <c r="G120" s="8">
        <v>1</v>
      </c>
    </row>
    <row r="121" spans="2:7" x14ac:dyDescent="0.25">
      <c r="B121" s="6" t="s">
        <v>497</v>
      </c>
      <c r="C121" s="6" t="s">
        <v>57</v>
      </c>
      <c r="D121" s="8">
        <v>50</v>
      </c>
      <c r="E121" s="6" t="s">
        <v>498</v>
      </c>
      <c r="F121" s="6" t="s">
        <v>113</v>
      </c>
      <c r="G121" s="8">
        <v>47</v>
      </c>
    </row>
    <row r="122" spans="2:7" x14ac:dyDescent="0.25">
      <c r="B122" s="6" t="s">
        <v>499</v>
      </c>
      <c r="C122" s="6" t="s">
        <v>57</v>
      </c>
      <c r="D122" s="8">
        <v>20</v>
      </c>
      <c r="E122" s="6" t="s">
        <v>500</v>
      </c>
      <c r="F122" s="6" t="s">
        <v>113</v>
      </c>
      <c r="G122" s="8">
        <v>10</v>
      </c>
    </row>
    <row r="123" spans="2:7" x14ac:dyDescent="0.25">
      <c r="B123" s="6" t="s">
        <v>501</v>
      </c>
      <c r="C123" s="6" t="s">
        <v>57</v>
      </c>
      <c r="D123" s="8">
        <v>2</v>
      </c>
      <c r="E123" s="6" t="s">
        <v>502</v>
      </c>
      <c r="F123" s="6" t="s">
        <v>113</v>
      </c>
      <c r="G123" s="8">
        <v>1</v>
      </c>
    </row>
    <row r="124" spans="2:7" x14ac:dyDescent="0.25">
      <c r="B124" s="6" t="s">
        <v>503</v>
      </c>
      <c r="C124" s="6" t="s">
        <v>57</v>
      </c>
      <c r="D124" s="8">
        <v>1</v>
      </c>
      <c r="E124" s="6" t="s">
        <v>504</v>
      </c>
      <c r="F124" s="6" t="s">
        <v>126</v>
      </c>
      <c r="G124" s="8">
        <v>0</v>
      </c>
    </row>
    <row r="125" spans="2:7" x14ac:dyDescent="0.25">
      <c r="B125" s="6" t="s">
        <v>505</v>
      </c>
      <c r="C125" s="6" t="s">
        <v>57</v>
      </c>
      <c r="D125" s="8">
        <v>3</v>
      </c>
      <c r="E125" s="6" t="s">
        <v>506</v>
      </c>
      <c r="F125" s="6" t="s">
        <v>113</v>
      </c>
      <c r="G125" s="8">
        <v>1</v>
      </c>
    </row>
    <row r="126" spans="2:7" x14ac:dyDescent="0.25">
      <c r="B126" s="6" t="s">
        <v>507</v>
      </c>
      <c r="C126" s="6" t="s">
        <v>57</v>
      </c>
      <c r="D126" s="8">
        <v>4</v>
      </c>
      <c r="E126" s="6" t="s">
        <v>508</v>
      </c>
      <c r="F126" s="6" t="s">
        <v>113</v>
      </c>
      <c r="G126" s="8">
        <v>1</v>
      </c>
    </row>
    <row r="127" spans="2:7" x14ac:dyDescent="0.25">
      <c r="B127" s="6" t="s">
        <v>509</v>
      </c>
      <c r="C127" s="6" t="s">
        <v>57</v>
      </c>
      <c r="D127" s="8">
        <v>4</v>
      </c>
      <c r="E127" s="6" t="s">
        <v>510</v>
      </c>
      <c r="F127" s="6" t="s">
        <v>113</v>
      </c>
      <c r="G127" s="8">
        <v>1</v>
      </c>
    </row>
    <row r="128" spans="2:7" x14ac:dyDescent="0.25">
      <c r="B128" s="6" t="s">
        <v>511</v>
      </c>
      <c r="C128" s="6" t="s">
        <v>57</v>
      </c>
      <c r="D128" s="8">
        <v>10</v>
      </c>
      <c r="E128" s="6" t="s">
        <v>512</v>
      </c>
      <c r="F128" s="6" t="s">
        <v>113</v>
      </c>
      <c r="G128" s="8">
        <v>5</v>
      </c>
    </row>
    <row r="129" spans="2:7" x14ac:dyDescent="0.25">
      <c r="B129" s="6" t="s">
        <v>517</v>
      </c>
      <c r="C129" s="6" t="s">
        <v>57</v>
      </c>
      <c r="D129" s="8">
        <v>1</v>
      </c>
      <c r="E129" s="6" t="s">
        <v>518</v>
      </c>
      <c r="F129" s="6" t="s">
        <v>113</v>
      </c>
      <c r="G129" s="6">
        <v>1</v>
      </c>
    </row>
    <row r="130" spans="2:7" x14ac:dyDescent="0.25">
      <c r="B130" s="6" t="s">
        <v>519</v>
      </c>
      <c r="C130" s="6" t="s">
        <v>57</v>
      </c>
      <c r="D130" s="8">
        <v>2</v>
      </c>
      <c r="E130" s="6" t="s">
        <v>520</v>
      </c>
      <c r="F130" s="6" t="s">
        <v>126</v>
      </c>
      <c r="G130" s="6">
        <v>0</v>
      </c>
    </row>
    <row r="131" spans="2:7" x14ac:dyDescent="0.25">
      <c r="B131" s="6" t="s">
        <v>521</v>
      </c>
      <c r="C131" s="6" t="s">
        <v>57</v>
      </c>
      <c r="D131" s="8">
        <v>2</v>
      </c>
      <c r="E131" s="6" t="s">
        <v>522</v>
      </c>
      <c r="F131" s="6" t="s">
        <v>126</v>
      </c>
      <c r="G131" s="6">
        <v>0</v>
      </c>
    </row>
    <row r="132" spans="2:7" x14ac:dyDescent="0.25">
      <c r="B132" s="6" t="s">
        <v>523</v>
      </c>
      <c r="C132" s="6" t="s">
        <v>57</v>
      </c>
      <c r="D132" s="8">
        <v>2</v>
      </c>
      <c r="E132" s="6" t="s">
        <v>524</v>
      </c>
      <c r="F132" s="6" t="s">
        <v>126</v>
      </c>
      <c r="G132" s="6">
        <v>0</v>
      </c>
    </row>
    <row r="133" spans="2:7" x14ac:dyDescent="0.25">
      <c r="B133" s="6" t="s">
        <v>525</v>
      </c>
      <c r="C133" s="6" t="s">
        <v>57</v>
      </c>
      <c r="D133" s="8">
        <v>2</v>
      </c>
      <c r="E133" s="6" t="s">
        <v>526</v>
      </c>
      <c r="F133" s="6" t="s">
        <v>113</v>
      </c>
      <c r="G133" s="6">
        <v>3</v>
      </c>
    </row>
    <row r="134" spans="2:7" x14ac:dyDescent="0.25">
      <c r="B134" s="6" t="s">
        <v>527</v>
      </c>
      <c r="C134" s="6" t="s">
        <v>57</v>
      </c>
      <c r="D134" s="8">
        <v>20</v>
      </c>
      <c r="E134" s="6" t="s">
        <v>528</v>
      </c>
      <c r="F134" s="6" t="s">
        <v>113</v>
      </c>
      <c r="G134" s="6">
        <v>80</v>
      </c>
    </row>
    <row r="135" spans="2:7" x14ac:dyDescent="0.25">
      <c r="B135" s="6" t="s">
        <v>529</v>
      </c>
      <c r="C135" s="6" t="s">
        <v>57</v>
      </c>
      <c r="D135" s="8">
        <v>5</v>
      </c>
      <c r="E135" s="6" t="s">
        <v>530</v>
      </c>
      <c r="F135" s="6" t="s">
        <v>126</v>
      </c>
      <c r="G135" s="6">
        <v>0</v>
      </c>
    </row>
    <row r="136" spans="2:7" x14ac:dyDescent="0.25">
      <c r="B136" s="6" t="s">
        <v>531</v>
      </c>
      <c r="C136" s="6" t="s">
        <v>57</v>
      </c>
      <c r="D136" s="8">
        <v>5</v>
      </c>
      <c r="E136" s="6" t="s">
        <v>532</v>
      </c>
      <c r="F136" s="6" t="s">
        <v>113</v>
      </c>
      <c r="G136" s="6">
        <v>5</v>
      </c>
    </row>
    <row r="137" spans="2:7" x14ac:dyDescent="0.25">
      <c r="B137" s="6" t="s">
        <v>533</v>
      </c>
      <c r="C137" s="6" t="s">
        <v>57</v>
      </c>
      <c r="D137" s="8">
        <v>6</v>
      </c>
      <c r="E137" s="6" t="s">
        <v>534</v>
      </c>
      <c r="F137" s="6" t="s">
        <v>113</v>
      </c>
      <c r="G137" s="6">
        <v>44</v>
      </c>
    </row>
    <row r="138" spans="2:7" x14ac:dyDescent="0.25">
      <c r="B138" s="6" t="s">
        <v>535</v>
      </c>
      <c r="C138" s="6" t="s">
        <v>57</v>
      </c>
      <c r="D138" s="8">
        <v>45</v>
      </c>
      <c r="E138" s="6" t="s">
        <v>536</v>
      </c>
      <c r="F138" s="6" t="s">
        <v>113</v>
      </c>
      <c r="G138" s="6">
        <v>5</v>
      </c>
    </row>
    <row r="139" spans="2:7" x14ac:dyDescent="0.25">
      <c r="B139" s="6" t="s">
        <v>537</v>
      </c>
      <c r="C139" s="6" t="s">
        <v>57</v>
      </c>
      <c r="D139" s="8">
        <v>4</v>
      </c>
      <c r="E139" s="6" t="s">
        <v>538</v>
      </c>
      <c r="F139" s="6" t="s">
        <v>113</v>
      </c>
      <c r="G139" s="6">
        <v>46</v>
      </c>
    </row>
    <row r="140" spans="2:7" x14ac:dyDescent="0.25">
      <c r="B140" s="6" t="s">
        <v>539</v>
      </c>
      <c r="C140" s="6" t="s">
        <v>57</v>
      </c>
      <c r="D140" s="8">
        <v>10</v>
      </c>
      <c r="E140" s="6" t="s">
        <v>540</v>
      </c>
      <c r="F140" s="6" t="s">
        <v>126</v>
      </c>
      <c r="G140" s="6">
        <v>0</v>
      </c>
    </row>
    <row r="141" spans="2:7" x14ac:dyDescent="0.25">
      <c r="B141" s="6" t="s">
        <v>541</v>
      </c>
      <c r="C141" s="6" t="s">
        <v>57</v>
      </c>
      <c r="D141" s="8">
        <v>10</v>
      </c>
      <c r="E141" s="6" t="s">
        <v>542</v>
      </c>
      <c r="F141" s="6" t="s">
        <v>126</v>
      </c>
      <c r="G141" s="6">
        <v>0</v>
      </c>
    </row>
    <row r="142" spans="2:7" x14ac:dyDescent="0.25">
      <c r="B142" s="6" t="s">
        <v>543</v>
      </c>
      <c r="C142" s="6" t="s">
        <v>57</v>
      </c>
      <c r="D142" s="8">
        <v>50</v>
      </c>
      <c r="E142" s="6" t="s">
        <v>544</v>
      </c>
      <c r="F142" s="6" t="s">
        <v>126</v>
      </c>
      <c r="G142" s="6">
        <v>0</v>
      </c>
    </row>
    <row r="143" spans="2:7" x14ac:dyDescent="0.25">
      <c r="B143" s="6" t="s">
        <v>545</v>
      </c>
      <c r="C143" s="6" t="s">
        <v>57</v>
      </c>
      <c r="D143" s="8">
        <v>5</v>
      </c>
      <c r="E143" s="6" t="s">
        <v>546</v>
      </c>
      <c r="F143" s="6" t="s">
        <v>126</v>
      </c>
      <c r="G143" s="6">
        <v>0</v>
      </c>
    </row>
    <row r="144" spans="2:7" x14ac:dyDescent="0.25">
      <c r="B144" s="6" t="s">
        <v>547</v>
      </c>
      <c r="C144" s="6" t="s">
        <v>57</v>
      </c>
      <c r="D144" s="8">
        <v>5</v>
      </c>
      <c r="E144" s="6" t="s">
        <v>548</v>
      </c>
      <c r="F144" s="6" t="s">
        <v>126</v>
      </c>
      <c r="G144" s="6">
        <v>0</v>
      </c>
    </row>
    <row r="145" spans="2:7" x14ac:dyDescent="0.25">
      <c r="B145" s="6" t="s">
        <v>549</v>
      </c>
      <c r="C145" s="6" t="s">
        <v>57</v>
      </c>
      <c r="D145" s="8">
        <v>10</v>
      </c>
      <c r="E145" s="6" t="s">
        <v>550</v>
      </c>
      <c r="F145" s="6" t="s">
        <v>126</v>
      </c>
      <c r="G145" s="6">
        <v>0</v>
      </c>
    </row>
    <row r="146" spans="2:7" x14ac:dyDescent="0.25">
      <c r="B146" s="6" t="s">
        <v>551</v>
      </c>
      <c r="C146" s="6" t="s">
        <v>57</v>
      </c>
      <c r="D146" s="8">
        <v>3</v>
      </c>
      <c r="E146" s="6" t="s">
        <v>552</v>
      </c>
      <c r="F146" s="6" t="s">
        <v>126</v>
      </c>
      <c r="G146" s="6">
        <v>0</v>
      </c>
    </row>
    <row r="147" spans="2:7" x14ac:dyDescent="0.25">
      <c r="B147" s="6" t="s">
        <v>553</v>
      </c>
      <c r="C147" s="6" t="s">
        <v>57</v>
      </c>
      <c r="D147" s="8">
        <v>50</v>
      </c>
      <c r="E147" s="6" t="s">
        <v>554</v>
      </c>
      <c r="F147" s="6" t="s">
        <v>126</v>
      </c>
      <c r="G147" s="6">
        <v>0</v>
      </c>
    </row>
    <row r="148" spans="2:7" x14ac:dyDescent="0.25">
      <c r="B148" s="6" t="s">
        <v>555</v>
      </c>
      <c r="C148" s="6" t="s">
        <v>57</v>
      </c>
      <c r="D148" s="8">
        <v>5</v>
      </c>
      <c r="E148" s="6" t="s">
        <v>556</v>
      </c>
      <c r="F148" s="6" t="s">
        <v>113</v>
      </c>
      <c r="G148" s="6">
        <v>45</v>
      </c>
    </row>
    <row r="149" spans="2:7" x14ac:dyDescent="0.25">
      <c r="B149" s="6" t="s">
        <v>557</v>
      </c>
      <c r="C149" s="6" t="s">
        <v>57</v>
      </c>
      <c r="D149" s="8">
        <v>10</v>
      </c>
      <c r="E149" s="6" t="s">
        <v>558</v>
      </c>
      <c r="F149" s="6" t="s">
        <v>126</v>
      </c>
      <c r="G149" s="6">
        <v>0</v>
      </c>
    </row>
    <row r="150" spans="2:7" x14ac:dyDescent="0.25">
      <c r="B150" s="6" t="s">
        <v>559</v>
      </c>
      <c r="C150" s="6" t="s">
        <v>57</v>
      </c>
      <c r="D150" s="8">
        <v>10</v>
      </c>
      <c r="E150" s="6" t="s">
        <v>560</v>
      </c>
      <c r="F150" s="6" t="s">
        <v>126</v>
      </c>
      <c r="G150" s="6">
        <v>0</v>
      </c>
    </row>
    <row r="151" spans="2:7" x14ac:dyDescent="0.25">
      <c r="B151" s="6" t="s">
        <v>561</v>
      </c>
      <c r="C151" s="6" t="s">
        <v>57</v>
      </c>
      <c r="D151" s="8">
        <v>5</v>
      </c>
      <c r="E151" s="6" t="s">
        <v>562</v>
      </c>
      <c r="F151" s="6" t="s">
        <v>113</v>
      </c>
      <c r="G151" s="6">
        <v>45</v>
      </c>
    </row>
    <row r="152" spans="2:7" x14ac:dyDescent="0.25">
      <c r="B152" s="6" t="s">
        <v>563</v>
      </c>
      <c r="C152" s="6" t="s">
        <v>57</v>
      </c>
      <c r="D152" s="8">
        <v>5</v>
      </c>
      <c r="E152" s="6" t="s">
        <v>564</v>
      </c>
      <c r="F152" s="6" t="s">
        <v>126</v>
      </c>
      <c r="G152" s="6">
        <v>0</v>
      </c>
    </row>
    <row r="153" spans="2:7" x14ac:dyDescent="0.25">
      <c r="B153" s="6" t="s">
        <v>565</v>
      </c>
      <c r="C153" s="6" t="s">
        <v>57</v>
      </c>
      <c r="D153" s="8">
        <v>5</v>
      </c>
      <c r="E153" s="6" t="s">
        <v>566</v>
      </c>
      <c r="F153" s="6" t="s">
        <v>126</v>
      </c>
      <c r="G153" s="6">
        <v>0</v>
      </c>
    </row>
    <row r="154" spans="2:7" x14ac:dyDescent="0.25">
      <c r="B154" s="6" t="s">
        <v>567</v>
      </c>
      <c r="C154" s="6" t="s">
        <v>57</v>
      </c>
      <c r="D154" s="8">
        <v>5</v>
      </c>
      <c r="E154" s="6" t="s">
        <v>568</v>
      </c>
      <c r="F154" s="6" t="s">
        <v>113</v>
      </c>
      <c r="G154" s="6">
        <v>45</v>
      </c>
    </row>
    <row r="155" spans="2:7" x14ac:dyDescent="0.25">
      <c r="B155" s="6" t="s">
        <v>569</v>
      </c>
      <c r="C155" s="6" t="s">
        <v>57</v>
      </c>
      <c r="D155" s="8">
        <v>5</v>
      </c>
      <c r="E155" s="6" t="s">
        <v>570</v>
      </c>
      <c r="F155" s="6" t="s">
        <v>113</v>
      </c>
      <c r="G155" s="6">
        <v>15</v>
      </c>
    </row>
    <row r="156" spans="2:7" x14ac:dyDescent="0.25">
      <c r="B156" s="6" t="s">
        <v>571</v>
      </c>
      <c r="C156" s="6" t="s">
        <v>57</v>
      </c>
      <c r="D156" s="8">
        <v>20</v>
      </c>
      <c r="E156" s="6" t="s">
        <v>572</v>
      </c>
      <c r="F156" s="6" t="s">
        <v>126</v>
      </c>
      <c r="G156" s="6">
        <v>0</v>
      </c>
    </row>
    <row r="157" spans="2:7" x14ac:dyDescent="0.25">
      <c r="B157" s="6" t="s">
        <v>573</v>
      </c>
      <c r="C157" s="6" t="s">
        <v>57</v>
      </c>
      <c r="D157" s="8">
        <v>5</v>
      </c>
      <c r="E157" s="6" t="s">
        <v>574</v>
      </c>
      <c r="F157" s="6" t="s">
        <v>126</v>
      </c>
      <c r="G157" s="6">
        <v>0</v>
      </c>
    </row>
    <row r="158" spans="2:7" x14ac:dyDescent="0.25">
      <c r="B158" s="6" t="s">
        <v>575</v>
      </c>
      <c r="C158" s="6" t="s">
        <v>57</v>
      </c>
      <c r="D158" s="8">
        <v>2</v>
      </c>
      <c r="E158" s="6" t="s">
        <v>576</v>
      </c>
      <c r="F158" s="6" t="s">
        <v>126</v>
      </c>
      <c r="G158" s="6">
        <v>0</v>
      </c>
    </row>
    <row r="159" spans="2:7" x14ac:dyDescent="0.25">
      <c r="B159" s="6" t="s">
        <v>577</v>
      </c>
      <c r="C159" s="6" t="s">
        <v>57</v>
      </c>
      <c r="D159" s="8">
        <v>50</v>
      </c>
      <c r="E159" s="6" t="s">
        <v>578</v>
      </c>
      <c r="F159" s="6" t="s">
        <v>126</v>
      </c>
      <c r="G159" s="6">
        <v>0</v>
      </c>
    </row>
    <row r="160" spans="2:7" x14ac:dyDescent="0.25">
      <c r="B160" s="6" t="s">
        <v>579</v>
      </c>
      <c r="C160" s="6" t="s">
        <v>57</v>
      </c>
      <c r="D160" s="8">
        <v>3</v>
      </c>
      <c r="E160" s="6" t="s">
        <v>580</v>
      </c>
      <c r="F160" s="6" t="s">
        <v>126</v>
      </c>
      <c r="G160" s="6">
        <v>0</v>
      </c>
    </row>
    <row r="161" spans="2:7" x14ac:dyDescent="0.25">
      <c r="B161" s="6" t="s">
        <v>581</v>
      </c>
      <c r="C161" s="6" t="s">
        <v>57</v>
      </c>
      <c r="D161" s="8">
        <v>2</v>
      </c>
      <c r="E161" s="6" t="s">
        <v>582</v>
      </c>
      <c r="F161" s="6" t="s">
        <v>126</v>
      </c>
      <c r="G161" s="6">
        <v>0</v>
      </c>
    </row>
    <row r="162" spans="2:7" x14ac:dyDescent="0.25">
      <c r="B162" s="6" t="s">
        <v>583</v>
      </c>
      <c r="C162" s="6" t="s">
        <v>57</v>
      </c>
      <c r="D162" s="8">
        <v>50</v>
      </c>
      <c r="E162" s="6" t="s">
        <v>584</v>
      </c>
      <c r="F162" s="6" t="s">
        <v>126</v>
      </c>
      <c r="G162" s="6">
        <v>0</v>
      </c>
    </row>
    <row r="163" spans="2:7" x14ac:dyDescent="0.25">
      <c r="B163" s="6" t="s">
        <v>585</v>
      </c>
      <c r="C163" s="6" t="s">
        <v>57</v>
      </c>
      <c r="D163" s="8">
        <v>20</v>
      </c>
      <c r="E163" s="6" t="s">
        <v>586</v>
      </c>
      <c r="F163" s="6" t="s">
        <v>126</v>
      </c>
      <c r="G163" s="6">
        <v>0</v>
      </c>
    </row>
    <row r="164" spans="2:7" x14ac:dyDescent="0.25">
      <c r="B164" s="6" t="s">
        <v>587</v>
      </c>
      <c r="C164" s="6" t="s">
        <v>57</v>
      </c>
      <c r="D164" s="8">
        <v>2</v>
      </c>
      <c r="E164" s="6" t="s">
        <v>588</v>
      </c>
      <c r="F164" s="6" t="s">
        <v>126</v>
      </c>
      <c r="G164" s="6">
        <v>0</v>
      </c>
    </row>
    <row r="165" spans="2:7" x14ac:dyDescent="0.25">
      <c r="B165" s="6" t="s">
        <v>589</v>
      </c>
      <c r="C165" s="6" t="s">
        <v>57</v>
      </c>
      <c r="D165" s="8">
        <v>1</v>
      </c>
      <c r="E165" s="6" t="s">
        <v>590</v>
      </c>
      <c r="F165" s="6" t="s">
        <v>126</v>
      </c>
      <c r="G165" s="6">
        <v>0</v>
      </c>
    </row>
    <row r="166" spans="2:7" x14ac:dyDescent="0.25">
      <c r="B166" s="6" t="s">
        <v>591</v>
      </c>
      <c r="C166" s="6" t="s">
        <v>57</v>
      </c>
      <c r="D166" s="8">
        <v>3</v>
      </c>
      <c r="E166" s="6" t="s">
        <v>592</v>
      </c>
      <c r="F166" s="6" t="s">
        <v>126</v>
      </c>
      <c r="G166" s="6">
        <v>0</v>
      </c>
    </row>
    <row r="167" spans="2:7" x14ac:dyDescent="0.25">
      <c r="B167" s="6" t="s">
        <v>593</v>
      </c>
      <c r="C167" s="6" t="s">
        <v>57</v>
      </c>
      <c r="D167" s="8">
        <v>4</v>
      </c>
      <c r="E167" s="6" t="s">
        <v>594</v>
      </c>
      <c r="F167" s="6" t="s">
        <v>126</v>
      </c>
      <c r="G167" s="6">
        <v>0</v>
      </c>
    </row>
    <row r="168" spans="2:7" x14ac:dyDescent="0.25">
      <c r="B168" s="6" t="s">
        <v>595</v>
      </c>
      <c r="C168" s="6" t="s">
        <v>57</v>
      </c>
      <c r="D168" s="8">
        <v>4</v>
      </c>
      <c r="E168" s="6" t="s">
        <v>596</v>
      </c>
      <c r="F168" s="6" t="s">
        <v>126</v>
      </c>
      <c r="G168" s="6">
        <v>0</v>
      </c>
    </row>
    <row r="169" spans="2:7" x14ac:dyDescent="0.25">
      <c r="B169" s="6" t="s">
        <v>597</v>
      </c>
      <c r="C169" s="6" t="s">
        <v>57</v>
      </c>
      <c r="D169" s="8">
        <v>10</v>
      </c>
      <c r="E169" s="6" t="s">
        <v>598</v>
      </c>
      <c r="F169" s="6" t="s">
        <v>126</v>
      </c>
      <c r="G169" s="6">
        <v>0</v>
      </c>
    </row>
    <row r="170" spans="2:7" x14ac:dyDescent="0.25">
      <c r="B170" s="6" t="s">
        <v>599</v>
      </c>
      <c r="C170" s="6" t="s">
        <v>57</v>
      </c>
      <c r="D170" s="8">
        <v>74.999099999999999</v>
      </c>
      <c r="E170" s="6" t="s">
        <v>600</v>
      </c>
      <c r="F170" s="6" t="s">
        <v>113</v>
      </c>
      <c r="G170" s="6">
        <v>9.0000000000145519E-4</v>
      </c>
    </row>
    <row r="171" spans="2:7" ht="15.75" thickBot="1" x14ac:dyDescent="0.3">
      <c r="B171" s="4" t="s">
        <v>513</v>
      </c>
      <c r="C171" s="4"/>
      <c r="D171" s="4"/>
      <c r="E171" s="4"/>
      <c r="F171" s="4"/>
      <c r="G17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4"/>
  <sheetViews>
    <sheetView topLeftCell="AL1" workbookViewId="0">
      <pane ySplit="10" topLeftCell="A11" activePane="bottomLeft" state="frozen"/>
      <selection activeCell="Q1" sqref="Q1"/>
      <selection pane="bottomLeft" activeCell="BA12" sqref="BA12"/>
    </sheetView>
  </sheetViews>
  <sheetFormatPr defaultRowHeight="15" x14ac:dyDescent="0.25"/>
  <sheetData>
    <row r="1" spans="1:55" x14ac:dyDescent="0.25">
      <c r="A1" t="s">
        <v>200</v>
      </c>
    </row>
    <row r="2" spans="1:5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398</v>
      </c>
      <c r="AZ2" s="1" t="s">
        <v>399</v>
      </c>
    </row>
    <row r="3" spans="1:55" x14ac:dyDescent="0.25">
      <c r="A3" s="1">
        <v>16</v>
      </c>
      <c r="B3" s="1">
        <v>5</v>
      </c>
      <c r="C3" s="1">
        <v>5</v>
      </c>
      <c r="D3" s="1">
        <v>4</v>
      </c>
      <c r="E3" s="1">
        <v>1</v>
      </c>
      <c r="F3" s="1">
        <v>4</v>
      </c>
      <c r="G3" s="1">
        <v>3</v>
      </c>
      <c r="H3" s="1">
        <v>3</v>
      </c>
      <c r="I3" s="1">
        <v>5</v>
      </c>
      <c r="J3" s="1">
        <v>2</v>
      </c>
      <c r="K3" s="1">
        <v>5</v>
      </c>
      <c r="L3" s="1">
        <v>3</v>
      </c>
      <c r="M3" s="1">
        <v>5</v>
      </c>
      <c r="N3" s="1">
        <v>2</v>
      </c>
      <c r="O3" s="1">
        <v>2</v>
      </c>
      <c r="P3" s="1">
        <v>2</v>
      </c>
      <c r="Q3" s="1">
        <v>20</v>
      </c>
      <c r="R3" s="1">
        <v>5</v>
      </c>
      <c r="S3" s="1">
        <v>5</v>
      </c>
      <c r="T3" s="1">
        <v>6</v>
      </c>
      <c r="U3" s="1">
        <v>45</v>
      </c>
      <c r="V3" s="1">
        <v>4</v>
      </c>
      <c r="W3" s="1">
        <v>10</v>
      </c>
      <c r="X3" s="1">
        <v>10</v>
      </c>
      <c r="Y3" s="1">
        <v>50</v>
      </c>
      <c r="Z3" s="1">
        <v>5</v>
      </c>
      <c r="AA3" s="1">
        <v>5</v>
      </c>
      <c r="AB3" s="1">
        <v>10</v>
      </c>
      <c r="AC3" s="1">
        <v>3</v>
      </c>
      <c r="AD3" s="1">
        <v>50</v>
      </c>
      <c r="AE3" s="1">
        <v>5</v>
      </c>
      <c r="AF3" s="1">
        <v>10</v>
      </c>
      <c r="AG3" s="1">
        <v>10</v>
      </c>
      <c r="AH3" s="1">
        <v>5</v>
      </c>
      <c r="AI3" s="1">
        <v>5</v>
      </c>
      <c r="AJ3" s="1">
        <v>5</v>
      </c>
      <c r="AK3" s="1">
        <v>5</v>
      </c>
      <c r="AL3" s="1">
        <v>5</v>
      </c>
      <c r="AM3" s="1">
        <v>20</v>
      </c>
      <c r="AN3" s="1">
        <v>5</v>
      </c>
      <c r="AO3" s="1">
        <v>2</v>
      </c>
      <c r="AP3" s="1">
        <v>50</v>
      </c>
      <c r="AQ3" s="1">
        <v>3</v>
      </c>
      <c r="AR3" s="1">
        <v>2</v>
      </c>
      <c r="AS3" s="1">
        <v>50</v>
      </c>
      <c r="AT3" s="1">
        <v>20</v>
      </c>
      <c r="AU3" s="1">
        <v>2</v>
      </c>
      <c r="AV3" s="1">
        <v>1</v>
      </c>
      <c r="AW3" s="1">
        <v>3</v>
      </c>
      <c r="AX3" s="1">
        <v>4</v>
      </c>
      <c r="AY3" s="1">
        <v>4</v>
      </c>
      <c r="AZ3" s="1">
        <v>10</v>
      </c>
    </row>
    <row r="5" spans="1:55" x14ac:dyDescent="0.25">
      <c r="A5" t="s">
        <v>201</v>
      </c>
    </row>
    <row r="6" spans="1:55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1" t="s">
        <v>17</v>
      </c>
      <c r="S6" s="1" t="s">
        <v>18</v>
      </c>
      <c r="T6" s="1" t="s">
        <v>19</v>
      </c>
      <c r="U6" s="1" t="s">
        <v>20</v>
      </c>
      <c r="V6" s="1" t="s">
        <v>21</v>
      </c>
      <c r="W6" s="1" t="s">
        <v>22</v>
      </c>
      <c r="X6" s="1" t="s">
        <v>23</v>
      </c>
      <c r="Y6" s="1" t="s">
        <v>24</v>
      </c>
      <c r="Z6" s="1" t="s">
        <v>25</v>
      </c>
      <c r="AA6" s="1" t="s">
        <v>26</v>
      </c>
      <c r="AB6" s="1" t="s">
        <v>27</v>
      </c>
      <c r="AC6" s="1" t="s">
        <v>28</v>
      </c>
      <c r="AD6" s="1" t="s">
        <v>29</v>
      </c>
      <c r="AE6" s="1" t="s">
        <v>30</v>
      </c>
      <c r="AF6" s="1" t="s">
        <v>31</v>
      </c>
      <c r="AG6" s="1" t="s">
        <v>32</v>
      </c>
      <c r="AH6" s="1" t="s">
        <v>33</v>
      </c>
      <c r="AI6" s="1" t="s">
        <v>34</v>
      </c>
      <c r="AJ6" s="1" t="s">
        <v>35</v>
      </c>
      <c r="AK6" s="1" t="s">
        <v>36</v>
      </c>
      <c r="AL6" s="1" t="s">
        <v>37</v>
      </c>
      <c r="AM6" s="1" t="s">
        <v>38</v>
      </c>
      <c r="AN6" s="1" t="s">
        <v>39</v>
      </c>
      <c r="AO6" s="1" t="s">
        <v>40</v>
      </c>
      <c r="AP6" s="1" t="s">
        <v>41</v>
      </c>
      <c r="AQ6" s="1" t="s">
        <v>42</v>
      </c>
      <c r="AR6" s="1" t="s">
        <v>43</v>
      </c>
      <c r="AS6" s="1" t="s">
        <v>44</v>
      </c>
      <c r="AT6" s="1" t="s">
        <v>45</v>
      </c>
      <c r="AU6" s="1" t="s">
        <v>46</v>
      </c>
      <c r="AV6" s="1" t="s">
        <v>47</v>
      </c>
      <c r="AW6" s="1" t="s">
        <v>48</v>
      </c>
      <c r="AX6" s="1" t="s">
        <v>49</v>
      </c>
      <c r="AY6" s="1" t="s">
        <v>398</v>
      </c>
      <c r="AZ6" s="1" t="s">
        <v>399</v>
      </c>
      <c r="BA6" s="2" t="s">
        <v>57</v>
      </c>
    </row>
    <row r="7" spans="1:55" x14ac:dyDescent="0.25">
      <c r="A7" s="1">
        <f>0.05*0.05</f>
        <v>2.5000000000000005E-3</v>
      </c>
      <c r="B7" s="1">
        <f>0.05*0.05</f>
        <v>2.5000000000000005E-3</v>
      </c>
      <c r="C7" s="1">
        <f>0.05*0.05</f>
        <v>2.5000000000000005E-3</v>
      </c>
      <c r="D7" s="1">
        <f>0.05*0.05</f>
        <v>2.5000000000000005E-3</v>
      </c>
      <c r="E7" s="1">
        <f>0.15*0.15</f>
        <v>2.2499999999999999E-2</v>
      </c>
      <c r="F7" s="1">
        <f>0.08*0.08</f>
        <v>6.4000000000000003E-3</v>
      </c>
      <c r="G7" s="1">
        <f>0.08*0.08</f>
        <v>6.4000000000000003E-3</v>
      </c>
      <c r="H7" s="1">
        <f>0.1*0.1</f>
        <v>1.0000000000000002E-2</v>
      </c>
      <c r="I7" s="1">
        <f>0.1*0.1</f>
        <v>1.0000000000000002E-2</v>
      </c>
      <c r="J7" s="1">
        <f>0.25*0.25</f>
        <v>6.25E-2</v>
      </c>
      <c r="K7" s="1">
        <f>0.1*0.1</f>
        <v>1.0000000000000002E-2</v>
      </c>
      <c r="L7" s="1">
        <f>0.2*0.2</f>
        <v>4.0000000000000008E-2</v>
      </c>
      <c r="M7" s="1">
        <f>0.15*0.15</f>
        <v>2.2499999999999999E-2</v>
      </c>
      <c r="N7" s="1">
        <f>0.4*0.4</f>
        <v>0.16000000000000003</v>
      </c>
      <c r="O7" s="1">
        <f>0.4*0.4</f>
        <v>0.16000000000000003</v>
      </c>
      <c r="P7" s="1">
        <f>0.22*0.22</f>
        <v>4.8399999999999999E-2</v>
      </c>
      <c r="Q7" s="1">
        <f>0.1*0.1</f>
        <v>1.0000000000000002E-2</v>
      </c>
      <c r="R7" s="1">
        <f>0.3*0.3</f>
        <v>0.09</v>
      </c>
      <c r="S7" s="1">
        <f>0.3*0.15</f>
        <v>4.4999999999999998E-2</v>
      </c>
      <c r="T7" s="1">
        <f>0.2*0.2</f>
        <v>4.0000000000000008E-2</v>
      </c>
      <c r="U7" s="1">
        <f>0.25*0.25</f>
        <v>6.25E-2</v>
      </c>
      <c r="V7" s="1">
        <f>0.3*0.15</f>
        <v>4.4999999999999998E-2</v>
      </c>
      <c r="W7" s="1">
        <f>0.6*0.6</f>
        <v>0.36</v>
      </c>
      <c r="X7" s="1">
        <v>0.36</v>
      </c>
      <c r="Y7" s="1">
        <f>0.3*0.3</f>
        <v>0.09</v>
      </c>
      <c r="Z7" s="1">
        <f>0.5*0.5</f>
        <v>0.25</v>
      </c>
      <c r="AA7" s="1">
        <f>0.45*0.45</f>
        <v>0.20250000000000001</v>
      </c>
      <c r="AB7" s="1">
        <v>0.36</v>
      </c>
      <c r="AC7" s="1">
        <f>0.6*0.6</f>
        <v>0.36</v>
      </c>
      <c r="AD7" s="1">
        <f>0.3*0.3</f>
        <v>0.09</v>
      </c>
      <c r="AE7" s="1">
        <f>0.15*0.3</f>
        <v>4.4999999999999998E-2</v>
      </c>
      <c r="AF7" s="1">
        <f>0.6*0.6</f>
        <v>0.36</v>
      </c>
      <c r="AG7" s="1">
        <f>0.5*0.5</f>
        <v>0.25</v>
      </c>
      <c r="AH7" s="1">
        <f>0.2*0.2</f>
        <v>4.0000000000000008E-2</v>
      </c>
      <c r="AI7" s="1">
        <f>0.6*0.6</f>
        <v>0.36</v>
      </c>
      <c r="AJ7" s="1">
        <f>0.6*0.6</f>
        <v>0.36</v>
      </c>
      <c r="AK7" s="1">
        <f>0.25*0.25</f>
        <v>6.25E-2</v>
      </c>
      <c r="AL7" s="1">
        <f>0.25*0.25</f>
        <v>6.25E-2</v>
      </c>
      <c r="AM7" s="1">
        <f>0.3*0.3</f>
        <v>0.09</v>
      </c>
      <c r="AN7" s="1">
        <f>0.6*0.6</f>
        <v>0.36</v>
      </c>
      <c r="AO7" s="1">
        <f>0.75*0.75</f>
        <v>0.5625</v>
      </c>
      <c r="AP7" s="1">
        <f>0.38*0.38</f>
        <v>0.1444</v>
      </c>
      <c r="AQ7" s="1">
        <f>0.75*0.75</f>
        <v>0.5625</v>
      </c>
      <c r="AR7" s="1">
        <f>0.6*0.6</f>
        <v>0.36</v>
      </c>
      <c r="AS7" s="1">
        <f>0.5*0.5</f>
        <v>0.25</v>
      </c>
      <c r="AT7" s="1">
        <f>0.3*0.3</f>
        <v>0.09</v>
      </c>
      <c r="AU7" s="1">
        <v>1</v>
      </c>
      <c r="AV7" s="1">
        <v>1</v>
      </c>
      <c r="AW7" s="1">
        <f>0.6*0.6</f>
        <v>0.36</v>
      </c>
      <c r="AX7" s="1">
        <f>0.5*0.5</f>
        <v>0.25</v>
      </c>
      <c r="AY7" s="1">
        <f>0.5*0.5</f>
        <v>0.25</v>
      </c>
      <c r="AZ7" s="1">
        <f>0.3*0.3</f>
        <v>0.09</v>
      </c>
      <c r="BA7" s="1">
        <f>SUMPRODUCT($A$3:$AZ$3,A7:AZ7)</f>
        <v>74.999099999999999</v>
      </c>
    </row>
    <row r="9" spans="1:55" x14ac:dyDescent="0.25">
      <c r="A9" t="s">
        <v>51</v>
      </c>
    </row>
    <row r="10" spans="1:55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21</v>
      </c>
      <c r="W10" s="1" t="s">
        <v>22</v>
      </c>
      <c r="X10" s="1" t="s">
        <v>23</v>
      </c>
      <c r="Y10" s="1" t="s">
        <v>24</v>
      </c>
      <c r="Z10" s="1" t="s">
        <v>25</v>
      </c>
      <c r="AA10" s="1" t="s">
        <v>26</v>
      </c>
      <c r="AB10" s="1" t="s">
        <v>27</v>
      </c>
      <c r="AC10" s="1" t="s">
        <v>28</v>
      </c>
      <c r="AD10" s="1" t="s">
        <v>29</v>
      </c>
      <c r="AE10" s="1" t="s">
        <v>30</v>
      </c>
      <c r="AF10" s="1" t="s">
        <v>31</v>
      </c>
      <c r="AG10" s="1" t="s">
        <v>32</v>
      </c>
      <c r="AH10" s="1" t="s">
        <v>33</v>
      </c>
      <c r="AI10" s="1" t="s">
        <v>34</v>
      </c>
      <c r="AJ10" s="1" t="s">
        <v>35</v>
      </c>
      <c r="AK10" s="1" t="s">
        <v>36</v>
      </c>
      <c r="AL10" s="1" t="s">
        <v>37</v>
      </c>
      <c r="AM10" s="1" t="s">
        <v>38</v>
      </c>
      <c r="AN10" s="1" t="s">
        <v>39</v>
      </c>
      <c r="AO10" s="1" t="s">
        <v>40</v>
      </c>
      <c r="AP10" s="1" t="s">
        <v>41</v>
      </c>
      <c r="AQ10" s="1" t="s">
        <v>42</v>
      </c>
      <c r="AR10" s="1" t="s">
        <v>43</v>
      </c>
      <c r="AS10" s="1" t="s">
        <v>44</v>
      </c>
      <c r="AT10" s="1" t="s">
        <v>45</v>
      </c>
      <c r="AU10" s="1" t="s">
        <v>46</v>
      </c>
      <c r="AV10" s="1" t="s">
        <v>47</v>
      </c>
      <c r="AW10" s="1" t="s">
        <v>48</v>
      </c>
      <c r="AX10" s="1" t="s">
        <v>49</v>
      </c>
      <c r="AY10" s="1" t="s">
        <v>398</v>
      </c>
      <c r="AZ10" s="1" t="s">
        <v>399</v>
      </c>
      <c r="BA10" s="1" t="s">
        <v>57</v>
      </c>
      <c r="BB10" s="1"/>
      <c r="BC10" s="1" t="s">
        <v>202</v>
      </c>
    </row>
    <row r="11" spans="1:55" x14ac:dyDescent="0.25">
      <c r="A11" s="1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>
        <f>SUMPRODUCT($A$3:$AZ$3,A11:AZ11)</f>
        <v>16</v>
      </c>
      <c r="BB11" s="1" t="s">
        <v>55</v>
      </c>
      <c r="BC11" s="1">
        <v>5</v>
      </c>
    </row>
    <row r="12" spans="1:55" x14ac:dyDescent="0.25">
      <c r="A12" s="1"/>
      <c r="B12" s="1">
        <v>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>
        <f t="shared" ref="BA12:BA14" si="0">SUMPRODUCT($A$3:$AZ$3,A12:AZ12)</f>
        <v>5</v>
      </c>
      <c r="BB12" s="1" t="s">
        <v>55</v>
      </c>
      <c r="BC12" s="1">
        <v>5</v>
      </c>
    </row>
    <row r="13" spans="1:55" x14ac:dyDescent="0.25">
      <c r="A13" s="1"/>
      <c r="B13" s="1"/>
      <c r="C13" s="1">
        <v>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>
        <f t="shared" si="0"/>
        <v>5</v>
      </c>
      <c r="BB13" s="1" t="s">
        <v>55</v>
      </c>
      <c r="BC13" s="1">
        <v>5</v>
      </c>
    </row>
    <row r="14" spans="1:55" x14ac:dyDescent="0.25">
      <c r="A14" s="1"/>
      <c r="B14" s="1"/>
      <c r="C14" s="1"/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>
        <f t="shared" si="0"/>
        <v>4</v>
      </c>
      <c r="BB14" s="1" t="s">
        <v>55</v>
      </c>
      <c r="BC14" s="1">
        <v>4</v>
      </c>
    </row>
    <row r="15" spans="1:55" x14ac:dyDescent="0.25">
      <c r="A15" s="1"/>
      <c r="B15" s="1"/>
      <c r="C15" s="1"/>
      <c r="D15" s="1"/>
      <c r="E15" s="1"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>
        <f t="shared" ref="BA15:BA64" si="1">SUMPRODUCT($A$3:$AZ$3,A15:AZ15)</f>
        <v>1</v>
      </c>
      <c r="BB15" s="1" t="s">
        <v>55</v>
      </c>
      <c r="BC15" s="1">
        <v>1</v>
      </c>
    </row>
    <row r="16" spans="1:55" x14ac:dyDescent="0.25">
      <c r="A16" s="1"/>
      <c r="B16" s="1"/>
      <c r="C16" s="1"/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>
        <f t="shared" si="1"/>
        <v>4</v>
      </c>
      <c r="BB16" s="1" t="s">
        <v>55</v>
      </c>
      <c r="BC16" s="1">
        <v>4</v>
      </c>
    </row>
    <row r="17" spans="1:55" x14ac:dyDescent="0.25">
      <c r="A17" s="1"/>
      <c r="B17" s="1"/>
      <c r="C17" s="1"/>
      <c r="D17" s="1"/>
      <c r="E17" s="1"/>
      <c r="F17" s="1"/>
      <c r="G17" s="1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>
        <f t="shared" si="1"/>
        <v>3</v>
      </c>
      <c r="BB17" s="1" t="s">
        <v>55</v>
      </c>
      <c r="BC17" s="1">
        <v>3</v>
      </c>
    </row>
    <row r="18" spans="1:55" x14ac:dyDescent="0.25">
      <c r="A18" s="1"/>
      <c r="B18" s="1"/>
      <c r="C18" s="1"/>
      <c r="D18" s="1"/>
      <c r="E18" s="1"/>
      <c r="F18" s="1"/>
      <c r="G18" s="1"/>
      <c r="H18" s="1">
        <v>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>
        <f t="shared" si="1"/>
        <v>3</v>
      </c>
      <c r="BB18" s="1" t="s">
        <v>55</v>
      </c>
      <c r="BC18" s="1">
        <v>3</v>
      </c>
    </row>
    <row r="19" spans="1:55" x14ac:dyDescent="0.25">
      <c r="A19" s="1"/>
      <c r="B19" s="1"/>
      <c r="C19" s="1"/>
      <c r="D19" s="1"/>
      <c r="E19" s="1"/>
      <c r="F19" s="1"/>
      <c r="G19" s="1"/>
      <c r="H19" s="1"/>
      <c r="I19" s="1">
        <v>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>
        <f t="shared" si="1"/>
        <v>5</v>
      </c>
      <c r="BB19" s="1" t="s">
        <v>55</v>
      </c>
      <c r="BC19" s="1">
        <v>5</v>
      </c>
    </row>
    <row r="20" spans="1:55" x14ac:dyDescent="0.25">
      <c r="A20" s="1"/>
      <c r="B20" s="1"/>
      <c r="C20" s="1"/>
      <c r="D20" s="1"/>
      <c r="E20" s="1"/>
      <c r="F20" s="1"/>
      <c r="G20" s="1"/>
      <c r="H20" s="1"/>
      <c r="I20" s="1"/>
      <c r="J20" s="1"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>
        <f t="shared" si="1"/>
        <v>2</v>
      </c>
      <c r="BB20" s="1" t="s">
        <v>55</v>
      </c>
      <c r="BC20" s="1">
        <v>1</v>
      </c>
    </row>
    <row r="21" spans="1:5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>
        <v>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>
        <f t="shared" si="1"/>
        <v>5</v>
      </c>
      <c r="BB21" s="1" t="s">
        <v>55</v>
      </c>
      <c r="BC21" s="1">
        <v>5</v>
      </c>
    </row>
    <row r="22" spans="1:5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>
        <f t="shared" si="1"/>
        <v>3</v>
      </c>
      <c r="BB22" s="1" t="s">
        <v>55</v>
      </c>
      <c r="BC22" s="1">
        <v>3</v>
      </c>
    </row>
    <row r="23" spans="1:5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>
        <f t="shared" si="1"/>
        <v>5</v>
      </c>
      <c r="BB23" s="1" t="s">
        <v>55</v>
      </c>
      <c r="BC23" s="1">
        <v>5</v>
      </c>
    </row>
    <row r="24" spans="1:5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>
        <f t="shared" si="1"/>
        <v>2</v>
      </c>
      <c r="BB24" s="1" t="s">
        <v>55</v>
      </c>
      <c r="BC24" s="1">
        <v>1</v>
      </c>
    </row>
    <row r="25" spans="1:5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>
        <f t="shared" si="1"/>
        <v>2</v>
      </c>
      <c r="BB25" s="1" t="s">
        <v>55</v>
      </c>
      <c r="BC25" s="1">
        <v>1</v>
      </c>
    </row>
    <row r="26" spans="1:5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>
        <v>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>
        <f t="shared" si="1"/>
        <v>2</v>
      </c>
      <c r="BB26" s="1" t="s">
        <v>55</v>
      </c>
      <c r="BC26" s="1">
        <v>2</v>
      </c>
    </row>
    <row r="27" spans="1:5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>
        <v>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>
        <f t="shared" si="1"/>
        <v>20</v>
      </c>
      <c r="BB27" s="1" t="s">
        <v>55</v>
      </c>
      <c r="BC27" s="1">
        <v>20</v>
      </c>
    </row>
    <row r="28" spans="1:5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>
        <f t="shared" si="1"/>
        <v>5</v>
      </c>
      <c r="BB28" s="1" t="s">
        <v>55</v>
      </c>
      <c r="BC28" s="1">
        <v>2</v>
      </c>
    </row>
    <row r="29" spans="1:5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>
        <v>1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>
        <f t="shared" si="1"/>
        <v>5</v>
      </c>
      <c r="BB29" s="1" t="s">
        <v>55</v>
      </c>
      <c r="BC29" s="1">
        <v>5</v>
      </c>
    </row>
    <row r="30" spans="1:5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1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>
        <f t="shared" si="1"/>
        <v>6</v>
      </c>
      <c r="BB30" s="1" t="s">
        <v>55</v>
      </c>
      <c r="BC30" s="1">
        <v>6</v>
      </c>
    </row>
    <row r="31" spans="1:5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>
        <f t="shared" si="1"/>
        <v>45</v>
      </c>
      <c r="BB31" s="1" t="s">
        <v>55</v>
      </c>
      <c r="BC31" s="1">
        <v>2</v>
      </c>
    </row>
    <row r="32" spans="1:5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1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>
        <f t="shared" si="1"/>
        <v>4</v>
      </c>
      <c r="BB32" s="1" t="s">
        <v>55</v>
      </c>
      <c r="BC32" s="1">
        <v>4</v>
      </c>
    </row>
    <row r="33" spans="1:5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1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>
        <f t="shared" si="1"/>
        <v>10</v>
      </c>
      <c r="BB33" s="1" t="s">
        <v>55</v>
      </c>
      <c r="BC33" s="1">
        <v>1</v>
      </c>
    </row>
    <row r="34" spans="1:5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1</v>
      </c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>
        <f t="shared" si="1"/>
        <v>10</v>
      </c>
      <c r="BB34" s="1" t="s">
        <v>55</v>
      </c>
      <c r="BC34" s="1">
        <v>1</v>
      </c>
    </row>
    <row r="35" spans="1:5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>
        <v>1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>
        <f t="shared" si="1"/>
        <v>50</v>
      </c>
      <c r="BB35" s="1" t="s">
        <v>55</v>
      </c>
      <c r="BC35" s="1">
        <v>2</v>
      </c>
    </row>
    <row r="36" spans="1:5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1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>
        <f t="shared" si="1"/>
        <v>5</v>
      </c>
      <c r="BB36" s="1" t="s">
        <v>55</v>
      </c>
      <c r="BC36" s="1">
        <v>1</v>
      </c>
    </row>
    <row r="37" spans="1:5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>
        <v>1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>
        <f t="shared" si="1"/>
        <v>5</v>
      </c>
      <c r="BB37" s="1" t="s">
        <v>55</v>
      </c>
      <c r="BC37" s="1">
        <v>1</v>
      </c>
    </row>
    <row r="38" spans="1:5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>
        <v>1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>
        <f t="shared" si="1"/>
        <v>10</v>
      </c>
      <c r="BB38" s="1" t="s">
        <v>55</v>
      </c>
      <c r="BC38" s="1">
        <v>1</v>
      </c>
    </row>
    <row r="39" spans="1:5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>
        <v>1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>
        <f t="shared" si="1"/>
        <v>3</v>
      </c>
      <c r="BB39" s="1" t="s">
        <v>55</v>
      </c>
      <c r="BC39" s="1">
        <v>1</v>
      </c>
    </row>
    <row r="40" spans="1:5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>
        <v>1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>
        <f t="shared" si="1"/>
        <v>50</v>
      </c>
      <c r="BB40" s="1" t="s">
        <v>55</v>
      </c>
      <c r="BC40" s="1">
        <v>3</v>
      </c>
    </row>
    <row r="41" spans="1:5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>
        <v>1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>
        <f t="shared" si="1"/>
        <v>5</v>
      </c>
      <c r="BB41" s="1" t="s">
        <v>55</v>
      </c>
      <c r="BC41" s="1">
        <v>5</v>
      </c>
    </row>
    <row r="42" spans="1:5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>
        <v>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>
        <f t="shared" si="1"/>
        <v>10</v>
      </c>
      <c r="BB42" s="1" t="s">
        <v>55</v>
      </c>
      <c r="BC42" s="1">
        <v>1</v>
      </c>
    </row>
    <row r="43" spans="1:5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>
        <v>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>
        <f t="shared" si="1"/>
        <v>10</v>
      </c>
      <c r="BB43" s="1" t="s">
        <v>55</v>
      </c>
      <c r="BC43" s="1">
        <v>1</v>
      </c>
    </row>
    <row r="44" spans="1:5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>
        <v>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>
        <f t="shared" si="1"/>
        <v>5</v>
      </c>
      <c r="BB44" s="1" t="s">
        <v>55</v>
      </c>
      <c r="BC44" s="1">
        <v>5</v>
      </c>
    </row>
    <row r="45" spans="1:5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>
        <v>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>
        <f t="shared" si="1"/>
        <v>5</v>
      </c>
      <c r="BB45" s="1" t="s">
        <v>55</v>
      </c>
      <c r="BC45" s="1">
        <v>1</v>
      </c>
    </row>
    <row r="46" spans="1:5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>
        <v>1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>
        <f t="shared" si="1"/>
        <v>5</v>
      </c>
      <c r="BB46" s="1" t="s">
        <v>55</v>
      </c>
      <c r="BC46" s="1">
        <v>1</v>
      </c>
    </row>
    <row r="47" spans="1:5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>
        <f t="shared" si="1"/>
        <v>5</v>
      </c>
      <c r="BB47" s="1" t="s">
        <v>55</v>
      </c>
      <c r="BC47" s="1">
        <v>5</v>
      </c>
    </row>
    <row r="48" spans="1:5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>
        <v>1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>
        <f t="shared" si="1"/>
        <v>5</v>
      </c>
      <c r="BB48" s="1" t="s">
        <v>55</v>
      </c>
      <c r="BC48" s="1">
        <v>5</v>
      </c>
    </row>
    <row r="49" spans="1:5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>
        <v>1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>
        <f t="shared" si="1"/>
        <v>20</v>
      </c>
      <c r="BB49" s="1" t="s">
        <v>55</v>
      </c>
      <c r="BC49" s="1">
        <v>5</v>
      </c>
    </row>
    <row r="50" spans="1:5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>
        <v>1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>
        <f t="shared" si="1"/>
        <v>5</v>
      </c>
      <c r="BB50" s="1" t="s">
        <v>55</v>
      </c>
      <c r="BC50" s="1">
        <v>1</v>
      </c>
    </row>
    <row r="51" spans="1:5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>
        <v>1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>
        <f t="shared" si="1"/>
        <v>2</v>
      </c>
      <c r="BB51" s="1" t="s">
        <v>55</v>
      </c>
      <c r="BC51" s="1">
        <v>1</v>
      </c>
    </row>
    <row r="52" spans="1:5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>
        <v>1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>
        <f t="shared" si="1"/>
        <v>50</v>
      </c>
      <c r="BB52" s="1" t="s">
        <v>55</v>
      </c>
      <c r="BC52" s="1">
        <v>3</v>
      </c>
    </row>
    <row r="53" spans="1:5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>
        <f t="shared" si="1"/>
        <v>3</v>
      </c>
      <c r="BB53" s="1" t="s">
        <v>55</v>
      </c>
      <c r="BC53" s="1">
        <v>1</v>
      </c>
    </row>
    <row r="54" spans="1:5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>
        <v>1</v>
      </c>
      <c r="AS54" s="1"/>
      <c r="AT54" s="1"/>
      <c r="AU54" s="1"/>
      <c r="AV54" s="1"/>
      <c r="AW54" s="1"/>
      <c r="AX54" s="1"/>
      <c r="AY54" s="1"/>
      <c r="AZ54" s="1"/>
      <c r="BA54" s="1">
        <f t="shared" si="1"/>
        <v>2</v>
      </c>
      <c r="BB54" s="1" t="s">
        <v>55</v>
      </c>
      <c r="BC54" s="1">
        <v>1</v>
      </c>
    </row>
    <row r="55" spans="1:5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>
        <v>1</v>
      </c>
      <c r="AT55" s="1"/>
      <c r="AU55" s="1"/>
      <c r="AV55" s="1"/>
      <c r="AW55" s="1"/>
      <c r="AX55" s="1"/>
      <c r="AY55" s="1"/>
      <c r="AZ55" s="1"/>
      <c r="BA55" s="1">
        <f t="shared" si="1"/>
        <v>50</v>
      </c>
      <c r="BB55" s="1" t="s">
        <v>55</v>
      </c>
      <c r="BC55" s="1">
        <v>3</v>
      </c>
    </row>
    <row r="56" spans="1:5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>
        <v>1</v>
      </c>
      <c r="AU56" s="1"/>
      <c r="AV56" s="1"/>
      <c r="AW56" s="1"/>
      <c r="AX56" s="1"/>
      <c r="AY56" s="1"/>
      <c r="AZ56" s="1"/>
      <c r="BA56" s="1">
        <f t="shared" si="1"/>
        <v>20</v>
      </c>
      <c r="BB56" s="1" t="s">
        <v>55</v>
      </c>
      <c r="BC56" s="1">
        <v>10</v>
      </c>
    </row>
    <row r="57" spans="1:5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>
        <v>1</v>
      </c>
      <c r="AV57" s="1"/>
      <c r="AW57" s="1"/>
      <c r="AX57" s="1"/>
      <c r="AY57" s="1"/>
      <c r="AZ57" s="1"/>
      <c r="BA57" s="1">
        <f t="shared" si="1"/>
        <v>2</v>
      </c>
      <c r="BB57" s="1" t="s">
        <v>55</v>
      </c>
      <c r="BC57" s="1">
        <v>1</v>
      </c>
    </row>
    <row r="58" spans="1:5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>
        <v>1</v>
      </c>
      <c r="AW58" s="1"/>
      <c r="AX58" s="1"/>
      <c r="AY58" s="1"/>
      <c r="AZ58" s="1"/>
      <c r="BA58" s="1">
        <f t="shared" si="1"/>
        <v>1</v>
      </c>
      <c r="BB58" s="1" t="s">
        <v>55</v>
      </c>
      <c r="BC58" s="1">
        <v>1</v>
      </c>
    </row>
    <row r="59" spans="1:5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>
        <v>1</v>
      </c>
      <c r="AX59" s="1"/>
      <c r="AY59" s="1"/>
      <c r="AZ59" s="1"/>
      <c r="BA59" s="1">
        <f t="shared" si="1"/>
        <v>3</v>
      </c>
      <c r="BB59" s="1" t="s">
        <v>55</v>
      </c>
      <c r="BC59" s="1">
        <v>2</v>
      </c>
    </row>
    <row r="60" spans="1:5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>
        <v>1</v>
      </c>
      <c r="AY60" s="1"/>
      <c r="AZ60" s="1"/>
      <c r="BA60" s="1">
        <f t="shared" si="1"/>
        <v>4</v>
      </c>
      <c r="BB60" s="1" t="s">
        <v>55</v>
      </c>
      <c r="BC60" s="1">
        <v>3</v>
      </c>
    </row>
    <row r="61" spans="1:5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>
        <v>1</v>
      </c>
      <c r="AZ61" s="1"/>
      <c r="BA61" s="1">
        <f t="shared" si="1"/>
        <v>4</v>
      </c>
      <c r="BB61" s="1" t="s">
        <v>55</v>
      </c>
      <c r="BC61" s="1">
        <v>3</v>
      </c>
    </row>
    <row r="62" spans="1:5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1</v>
      </c>
      <c r="BA62" s="1">
        <f t="shared" si="1"/>
        <v>10</v>
      </c>
      <c r="BB62" s="1" t="s">
        <v>55</v>
      </c>
      <c r="BC62" s="1">
        <v>5</v>
      </c>
    </row>
    <row r="63" spans="1:55" x14ac:dyDescent="0.25">
      <c r="A63" s="1"/>
      <c r="B63" s="1"/>
      <c r="C63" s="1"/>
      <c r="D63" s="1"/>
      <c r="E63" s="1">
        <v>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>
        <f t="shared" si="1"/>
        <v>1</v>
      </c>
      <c r="BB63" s="1" t="s">
        <v>54</v>
      </c>
      <c r="BC63" s="1">
        <v>2</v>
      </c>
    </row>
    <row r="64" spans="1:55" x14ac:dyDescent="0.25">
      <c r="A64" s="1"/>
      <c r="B64" s="1"/>
      <c r="C64" s="1"/>
      <c r="D64" s="1"/>
      <c r="E64" s="1"/>
      <c r="F64" s="1"/>
      <c r="G64" s="1"/>
      <c r="H64" s="1"/>
      <c r="I64" s="1"/>
      <c r="J64" s="1">
        <v>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>
        <f t="shared" si="1"/>
        <v>2</v>
      </c>
      <c r="BB64" s="1" t="s">
        <v>54</v>
      </c>
      <c r="BC64" s="1">
        <v>2</v>
      </c>
    </row>
    <row r="65" spans="1:5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>
        <v>1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>
        <f t="shared" ref="BA65:BA103" si="2">SUMPRODUCT($A$3:$AZ$3,A65:AZ65)</f>
        <v>2</v>
      </c>
      <c r="BB65" s="1" t="s">
        <v>54</v>
      </c>
      <c r="BC65" s="1">
        <v>2</v>
      </c>
    </row>
    <row r="66" spans="1:5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>
        <f t="shared" si="2"/>
        <v>2</v>
      </c>
      <c r="BB66" s="1" t="s">
        <v>54</v>
      </c>
      <c r="BC66" s="1">
        <v>2</v>
      </c>
    </row>
    <row r="67" spans="1:5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>
        <v>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>
        <f t="shared" si="2"/>
        <v>2</v>
      </c>
      <c r="BB67" s="1" t="s">
        <v>54</v>
      </c>
      <c r="BC67" s="1">
        <v>5</v>
      </c>
    </row>
    <row r="68" spans="1:5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>
        <v>1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>
        <f t="shared" si="2"/>
        <v>20</v>
      </c>
      <c r="BB68" s="1" t="s">
        <v>54</v>
      </c>
      <c r="BC68" s="1">
        <v>100</v>
      </c>
    </row>
    <row r="69" spans="1:5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>
        <v>1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>
        <f t="shared" si="2"/>
        <v>5</v>
      </c>
      <c r="BB69" s="1" t="s">
        <v>54</v>
      </c>
      <c r="BC69" s="1">
        <v>5</v>
      </c>
    </row>
    <row r="70" spans="1:5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>
        <v>1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>
        <f t="shared" si="2"/>
        <v>5</v>
      </c>
      <c r="BB70" s="1" t="s">
        <v>54</v>
      </c>
      <c r="BC70" s="1">
        <v>10</v>
      </c>
    </row>
    <row r="71" spans="1:5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1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>
        <f t="shared" si="2"/>
        <v>6</v>
      </c>
      <c r="BB71" s="1" t="s">
        <v>54</v>
      </c>
      <c r="BC71" s="1">
        <v>50</v>
      </c>
    </row>
    <row r="72" spans="1:5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>
        <f t="shared" si="2"/>
        <v>45</v>
      </c>
      <c r="BB72" s="1" t="s">
        <v>54</v>
      </c>
      <c r="BC72" s="1">
        <v>50</v>
      </c>
    </row>
    <row r="73" spans="1:5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>
        <v>1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>
        <f t="shared" si="2"/>
        <v>4</v>
      </c>
      <c r="BB73" s="1" t="s">
        <v>54</v>
      </c>
      <c r="BC73" s="1">
        <v>50</v>
      </c>
    </row>
    <row r="74" spans="1:5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>
        <v>1</v>
      </c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>
        <f t="shared" si="2"/>
        <v>10</v>
      </c>
      <c r="BB74" s="1" t="s">
        <v>54</v>
      </c>
      <c r="BC74" s="1">
        <v>10</v>
      </c>
    </row>
    <row r="75" spans="1:5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v>1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>
        <f t="shared" si="2"/>
        <v>10</v>
      </c>
      <c r="BB75" s="1" t="s">
        <v>54</v>
      </c>
      <c r="BC75" s="1">
        <v>10</v>
      </c>
    </row>
    <row r="76" spans="1:5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1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>
        <f t="shared" si="2"/>
        <v>50</v>
      </c>
      <c r="BB76" s="1" t="s">
        <v>54</v>
      </c>
      <c r="BC76" s="1">
        <v>50</v>
      </c>
    </row>
    <row r="77" spans="1:5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>
        <v>1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>
        <f t="shared" si="2"/>
        <v>5</v>
      </c>
      <c r="BB77" s="1" t="s">
        <v>54</v>
      </c>
      <c r="BC77" s="1">
        <v>5</v>
      </c>
    </row>
    <row r="78" spans="1:5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>
        <v>1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>
        <f t="shared" si="2"/>
        <v>5</v>
      </c>
      <c r="BB78" s="1" t="s">
        <v>54</v>
      </c>
      <c r="BC78" s="1">
        <v>5</v>
      </c>
    </row>
    <row r="79" spans="1:5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1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>
        <f t="shared" si="2"/>
        <v>10</v>
      </c>
      <c r="BB79" s="1" t="s">
        <v>54</v>
      </c>
      <c r="BC79" s="1">
        <v>10</v>
      </c>
    </row>
    <row r="80" spans="1:5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>
        <v>1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>
        <f t="shared" si="2"/>
        <v>3</v>
      </c>
      <c r="BB80" s="1" t="s">
        <v>54</v>
      </c>
      <c r="BC80" s="1">
        <v>3</v>
      </c>
    </row>
    <row r="81" spans="1:5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>
        <v>1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>
        <f t="shared" si="2"/>
        <v>50</v>
      </c>
      <c r="BB81" s="1" t="s">
        <v>54</v>
      </c>
      <c r="BC81" s="1">
        <v>50</v>
      </c>
    </row>
    <row r="82" spans="1:5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>
        <v>1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>
        <f t="shared" si="2"/>
        <v>5</v>
      </c>
      <c r="BB82" s="1" t="s">
        <v>54</v>
      </c>
      <c r="BC82" s="1">
        <v>50</v>
      </c>
    </row>
    <row r="83" spans="1:5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>
        <f t="shared" si="2"/>
        <v>10</v>
      </c>
      <c r="BB83" s="1" t="s">
        <v>54</v>
      </c>
      <c r="BC83" s="1">
        <v>10</v>
      </c>
    </row>
    <row r="84" spans="1:5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>
        <f t="shared" si="2"/>
        <v>10</v>
      </c>
      <c r="BB84" s="1" t="s">
        <v>54</v>
      </c>
      <c r="BC84" s="1">
        <v>10</v>
      </c>
    </row>
    <row r="85" spans="1:5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>
        <v>1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>
        <f t="shared" si="2"/>
        <v>5</v>
      </c>
      <c r="BB85" s="1" t="s">
        <v>54</v>
      </c>
      <c r="BC85" s="1">
        <v>50</v>
      </c>
    </row>
    <row r="86" spans="1:5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>
        <v>1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>
        <f t="shared" si="2"/>
        <v>5</v>
      </c>
      <c r="BB86" s="1" t="s">
        <v>54</v>
      </c>
      <c r="BC86" s="1">
        <v>5</v>
      </c>
    </row>
    <row r="87" spans="1:5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>
        <v>1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>
        <f t="shared" si="2"/>
        <v>5</v>
      </c>
      <c r="BB87" s="1" t="s">
        <v>54</v>
      </c>
      <c r="BC87" s="1">
        <v>5</v>
      </c>
    </row>
    <row r="88" spans="1:5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>
        <v>1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>
        <f t="shared" si="2"/>
        <v>5</v>
      </c>
      <c r="BB88" s="1" t="s">
        <v>54</v>
      </c>
      <c r="BC88" s="1">
        <v>50</v>
      </c>
    </row>
    <row r="89" spans="1:5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>
        <v>1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>
        <f t="shared" si="2"/>
        <v>5</v>
      </c>
      <c r="BB89" s="1" t="s">
        <v>54</v>
      </c>
      <c r="BC89" s="1">
        <v>20</v>
      </c>
    </row>
    <row r="90" spans="1:5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>
        <v>1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>
        <f t="shared" si="2"/>
        <v>20</v>
      </c>
      <c r="BB90" s="1" t="s">
        <v>54</v>
      </c>
      <c r="BC90" s="1">
        <v>20</v>
      </c>
    </row>
    <row r="91" spans="1:5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>
        <v>1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>
        <f t="shared" si="2"/>
        <v>5</v>
      </c>
      <c r="BB91" s="1" t="s">
        <v>54</v>
      </c>
      <c r="BC91" s="1">
        <v>5</v>
      </c>
    </row>
    <row r="92" spans="1:5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1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>
        <f t="shared" si="2"/>
        <v>2</v>
      </c>
      <c r="BB92" s="1" t="s">
        <v>54</v>
      </c>
      <c r="BC92" s="1">
        <v>2</v>
      </c>
    </row>
    <row r="93" spans="1:5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>
        <v>1</v>
      </c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>
        <f t="shared" si="2"/>
        <v>50</v>
      </c>
      <c r="BB93" s="1" t="s">
        <v>54</v>
      </c>
      <c r="BC93" s="1">
        <v>50</v>
      </c>
    </row>
    <row r="94" spans="1:5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>
        <v>1</v>
      </c>
      <c r="AR94" s="1"/>
      <c r="AS94" s="1"/>
      <c r="AT94" s="1"/>
      <c r="AU94" s="1"/>
      <c r="AV94" s="1"/>
      <c r="AW94" s="1"/>
      <c r="AX94" s="1"/>
      <c r="AY94" s="1"/>
      <c r="AZ94" s="1"/>
      <c r="BA94" s="1">
        <f t="shared" si="2"/>
        <v>3</v>
      </c>
      <c r="BB94" s="1" t="s">
        <v>54</v>
      </c>
      <c r="BC94" s="1">
        <v>3</v>
      </c>
    </row>
    <row r="95" spans="1:5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>
        <v>1</v>
      </c>
      <c r="AS95" s="1"/>
      <c r="AT95" s="1"/>
      <c r="AU95" s="1"/>
      <c r="AV95" s="1"/>
      <c r="AW95" s="1"/>
      <c r="AX95" s="1"/>
      <c r="AY95" s="1"/>
      <c r="AZ95" s="1"/>
      <c r="BA95" s="1">
        <f t="shared" si="2"/>
        <v>2</v>
      </c>
      <c r="BB95" s="1" t="s">
        <v>54</v>
      </c>
      <c r="BC95" s="1">
        <v>2</v>
      </c>
    </row>
    <row r="96" spans="1:5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>
        <v>1</v>
      </c>
      <c r="AT96" s="1"/>
      <c r="AU96" s="1"/>
      <c r="AV96" s="1"/>
      <c r="AW96" s="1"/>
      <c r="AX96" s="1"/>
      <c r="AY96" s="1"/>
      <c r="AZ96" s="1"/>
      <c r="BA96" s="1">
        <f t="shared" si="2"/>
        <v>50</v>
      </c>
      <c r="BB96" s="1" t="s">
        <v>54</v>
      </c>
      <c r="BC96" s="1">
        <v>50</v>
      </c>
    </row>
    <row r="97" spans="1:5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>
        <v>1</v>
      </c>
      <c r="AU97" s="1"/>
      <c r="AV97" s="1"/>
      <c r="AW97" s="1"/>
      <c r="AX97" s="1"/>
      <c r="AY97" s="1"/>
      <c r="AZ97" s="1"/>
      <c r="BA97" s="1">
        <f t="shared" si="2"/>
        <v>20</v>
      </c>
      <c r="BB97" s="1" t="s">
        <v>54</v>
      </c>
      <c r="BC97" s="1">
        <v>20</v>
      </c>
    </row>
    <row r="98" spans="1:5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>
        <v>1</v>
      </c>
      <c r="AV98" s="1"/>
      <c r="AW98" s="1"/>
      <c r="AX98" s="1"/>
      <c r="AY98" s="1"/>
      <c r="AZ98" s="1"/>
      <c r="BA98" s="1">
        <f t="shared" si="2"/>
        <v>2</v>
      </c>
      <c r="BB98" s="1" t="s">
        <v>54</v>
      </c>
      <c r="BC98" s="1">
        <v>2</v>
      </c>
    </row>
    <row r="99" spans="1:5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>
        <v>1</v>
      </c>
      <c r="AW99" s="1"/>
      <c r="AX99" s="1"/>
      <c r="AY99" s="1"/>
      <c r="AZ99" s="1"/>
      <c r="BA99" s="1">
        <f t="shared" si="2"/>
        <v>1</v>
      </c>
      <c r="BB99" s="1" t="s">
        <v>54</v>
      </c>
      <c r="BC99" s="1">
        <v>1</v>
      </c>
    </row>
    <row r="100" spans="1:5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>
        <v>1</v>
      </c>
      <c r="AX100" s="1"/>
      <c r="AY100" s="1"/>
      <c r="AZ100" s="1"/>
      <c r="BA100" s="1">
        <f t="shared" si="2"/>
        <v>3</v>
      </c>
      <c r="BB100" s="1" t="s">
        <v>54</v>
      </c>
      <c r="BC100" s="1">
        <v>3</v>
      </c>
    </row>
    <row r="101" spans="1:5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>
        <v>1</v>
      </c>
      <c r="AY101" s="1"/>
      <c r="AZ101" s="1"/>
      <c r="BA101" s="1">
        <f t="shared" si="2"/>
        <v>4</v>
      </c>
      <c r="BB101" s="1" t="s">
        <v>54</v>
      </c>
      <c r="BC101" s="1">
        <v>4</v>
      </c>
    </row>
    <row r="102" spans="1:5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>
        <v>1</v>
      </c>
      <c r="AZ102" s="1"/>
      <c r="BA102" s="1">
        <f t="shared" si="2"/>
        <v>4</v>
      </c>
      <c r="BB102" s="1" t="s">
        <v>54</v>
      </c>
      <c r="BC102" s="1">
        <v>4</v>
      </c>
    </row>
    <row r="103" spans="1:5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>
        <v>1</v>
      </c>
      <c r="BA103" s="1">
        <f t="shared" si="2"/>
        <v>10</v>
      </c>
      <c r="BB103" s="1" t="s">
        <v>54</v>
      </c>
      <c r="BC103" s="1">
        <v>10</v>
      </c>
    </row>
    <row r="104" spans="1:55" x14ac:dyDescent="0.25">
      <c r="A104" s="1">
        <f>0.05*0.05</f>
        <v>2.5000000000000005E-3</v>
      </c>
      <c r="B104" s="1">
        <f>0.05*0.05</f>
        <v>2.5000000000000005E-3</v>
      </c>
      <c r="C104" s="1">
        <f>0.05*0.05</f>
        <v>2.5000000000000005E-3</v>
      </c>
      <c r="D104" s="1">
        <f>0.05*0.05</f>
        <v>2.5000000000000005E-3</v>
      </c>
      <c r="E104" s="1">
        <f>0.15*0.15</f>
        <v>2.2499999999999999E-2</v>
      </c>
      <c r="F104" s="1">
        <f>0.08*0.08</f>
        <v>6.4000000000000003E-3</v>
      </c>
      <c r="G104" s="1">
        <f>0.08*0.08</f>
        <v>6.4000000000000003E-3</v>
      </c>
      <c r="H104" s="1">
        <f>0.1*0.1</f>
        <v>1.0000000000000002E-2</v>
      </c>
      <c r="I104" s="1">
        <f>0.1*0.1</f>
        <v>1.0000000000000002E-2</v>
      </c>
      <c r="J104" s="1">
        <f>0.25*0.25</f>
        <v>6.25E-2</v>
      </c>
      <c r="K104" s="1">
        <f>0.1*0.1</f>
        <v>1.0000000000000002E-2</v>
      </c>
      <c r="L104" s="1">
        <f>0.2*0.2</f>
        <v>4.0000000000000008E-2</v>
      </c>
      <c r="M104" s="1">
        <f>0.15*0.15</f>
        <v>2.2499999999999999E-2</v>
      </c>
      <c r="N104" s="1">
        <f>0.4*0.4</f>
        <v>0.16000000000000003</v>
      </c>
      <c r="O104" s="1">
        <f>0.4*0.4</f>
        <v>0.16000000000000003</v>
      </c>
      <c r="P104" s="1">
        <f>0.22*0.22</f>
        <v>4.8399999999999999E-2</v>
      </c>
      <c r="Q104" s="1">
        <f>0.1*0.1</f>
        <v>1.0000000000000002E-2</v>
      </c>
      <c r="R104" s="1">
        <f>0.3*0.3</f>
        <v>0.09</v>
      </c>
      <c r="S104" s="1">
        <f>0.3*0.15</f>
        <v>4.4999999999999998E-2</v>
      </c>
      <c r="T104" s="1">
        <f>0.2*0.2</f>
        <v>4.0000000000000008E-2</v>
      </c>
      <c r="U104" s="1">
        <f>0.25*0.25</f>
        <v>6.25E-2</v>
      </c>
      <c r="V104" s="1">
        <f>0.3*0.15</f>
        <v>4.4999999999999998E-2</v>
      </c>
      <c r="W104" s="1">
        <f>0.6*0.6</f>
        <v>0.36</v>
      </c>
      <c r="X104" s="1">
        <v>0.36</v>
      </c>
      <c r="Y104" s="1">
        <f>0.3*0.3</f>
        <v>0.09</v>
      </c>
      <c r="Z104" s="1">
        <f>0.5*0.5</f>
        <v>0.25</v>
      </c>
      <c r="AA104" s="1">
        <f>0.45*0.45</f>
        <v>0.20250000000000001</v>
      </c>
      <c r="AB104" s="1">
        <v>0.36</v>
      </c>
      <c r="AC104" s="1">
        <f>0.6*0.6</f>
        <v>0.36</v>
      </c>
      <c r="AD104" s="1">
        <f>0.3*0.3</f>
        <v>0.09</v>
      </c>
      <c r="AE104" s="1">
        <f>0.15*0.3</f>
        <v>4.4999999999999998E-2</v>
      </c>
      <c r="AF104" s="1">
        <f>0.6*0.6</f>
        <v>0.36</v>
      </c>
      <c r="AG104" s="1">
        <f>0.5*0.5</f>
        <v>0.25</v>
      </c>
      <c r="AH104" s="1">
        <f>0.2*0.2</f>
        <v>4.0000000000000008E-2</v>
      </c>
      <c r="AI104" s="1">
        <f>0.6*0.6</f>
        <v>0.36</v>
      </c>
      <c r="AJ104" s="1">
        <f>0.6*0.6</f>
        <v>0.36</v>
      </c>
      <c r="AK104" s="1">
        <f>0.25*0.25</f>
        <v>6.25E-2</v>
      </c>
      <c r="AL104" s="1">
        <f>0.25*0.25</f>
        <v>6.25E-2</v>
      </c>
      <c r="AM104" s="1">
        <f>0.3*0.3</f>
        <v>0.09</v>
      </c>
      <c r="AN104" s="1">
        <f>0.6*0.6</f>
        <v>0.36</v>
      </c>
      <c r="AO104" s="1">
        <f>0.75*0.75</f>
        <v>0.5625</v>
      </c>
      <c r="AP104" s="1">
        <f>0.38*0.38</f>
        <v>0.1444</v>
      </c>
      <c r="AQ104" s="1">
        <f>0.75*0.75</f>
        <v>0.5625</v>
      </c>
      <c r="AR104" s="1">
        <f>0.6*0.6</f>
        <v>0.36</v>
      </c>
      <c r="AS104" s="1">
        <f>0.5*0.5</f>
        <v>0.25</v>
      </c>
      <c r="AT104" s="1">
        <f>0.3*0.3</f>
        <v>0.09</v>
      </c>
      <c r="AU104" s="1">
        <v>1</v>
      </c>
      <c r="AV104" s="1">
        <v>1</v>
      </c>
      <c r="AW104" s="1">
        <f>0.6*0.6</f>
        <v>0.36</v>
      </c>
      <c r="AX104" s="1">
        <f>0.5*0.5</f>
        <v>0.25</v>
      </c>
      <c r="AY104" s="1">
        <f>0.5*0.5</f>
        <v>0.25</v>
      </c>
      <c r="AZ104" s="1">
        <f>0.3*0.3</f>
        <v>0.09</v>
      </c>
      <c r="BA104" s="1">
        <f t="shared" ref="BA104" si="3">SUMPRODUCT($A$3:$AZ$3,A104:AZ104)</f>
        <v>74.999099999999999</v>
      </c>
      <c r="BB104" s="2" t="s">
        <v>54</v>
      </c>
      <c r="BC104" s="2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showGridLines="0" tabSelected="1" workbookViewId="0">
      <selection activeCell="J23" sqref="J23"/>
    </sheetView>
  </sheetViews>
  <sheetFormatPr defaultRowHeight="15" x14ac:dyDescent="0.25"/>
  <cols>
    <col min="1" max="1" width="2.125" customWidth="1"/>
    <col min="2" max="2" width="15.75" customWidth="1"/>
    <col min="3" max="3" width="5.5" customWidth="1"/>
    <col min="4" max="4" width="11.875" bestFit="1" customWidth="1"/>
    <col min="5" max="5" width="13.625" bestFit="1" customWidth="1"/>
    <col min="6" max="6" width="9.75" customWidth="1"/>
    <col min="7" max="7" width="6.875" customWidth="1"/>
  </cols>
  <sheetData>
    <row r="1" spans="1:5" x14ac:dyDescent="0.25">
      <c r="A1" s="3" t="s">
        <v>58</v>
      </c>
    </row>
    <row r="2" spans="1:5" x14ac:dyDescent="0.25">
      <c r="A2" s="3" t="s">
        <v>606</v>
      </c>
    </row>
    <row r="3" spans="1:5" x14ac:dyDescent="0.25">
      <c r="A3" s="3" t="s">
        <v>607</v>
      </c>
    </row>
    <row r="4" spans="1:5" x14ac:dyDescent="0.25">
      <c r="A4" s="3" t="s">
        <v>61</v>
      </c>
    </row>
    <row r="5" spans="1:5" x14ac:dyDescent="0.25">
      <c r="A5" s="3" t="s">
        <v>62</v>
      </c>
    </row>
    <row r="6" spans="1:5" x14ac:dyDescent="0.25">
      <c r="A6" s="3"/>
      <c r="B6" t="s">
        <v>63</v>
      </c>
    </row>
    <row r="7" spans="1:5" x14ac:dyDescent="0.25">
      <c r="A7" s="3"/>
      <c r="B7" t="s">
        <v>608</v>
      </c>
    </row>
    <row r="8" spans="1:5" x14ac:dyDescent="0.25">
      <c r="A8" s="3"/>
      <c r="B8" t="s">
        <v>609</v>
      </c>
    </row>
    <row r="9" spans="1:5" x14ac:dyDescent="0.25">
      <c r="A9" s="3" t="s">
        <v>66</v>
      </c>
    </row>
    <row r="10" spans="1:5" x14ac:dyDescent="0.25">
      <c r="B10" t="s">
        <v>67</v>
      </c>
    </row>
    <row r="11" spans="1:5" x14ac:dyDescent="0.25">
      <c r="B11" t="s">
        <v>68</v>
      </c>
    </row>
    <row r="14" spans="1:5" ht="15.75" thickBot="1" x14ac:dyDescent="0.3">
      <c r="A14" t="s">
        <v>69</v>
      </c>
    </row>
    <row r="15" spans="1:5" ht="15.75" thickBot="1" x14ac:dyDescent="0.3">
      <c r="B15" s="11" t="s">
        <v>70</v>
      </c>
      <c r="C15" s="11" t="s">
        <v>71</v>
      </c>
      <c r="D15" s="11" t="s">
        <v>72</v>
      </c>
      <c r="E15" s="11" t="s">
        <v>73</v>
      </c>
    </row>
    <row r="16" spans="1:5" ht="15.75" thickBot="1" x14ac:dyDescent="0.3">
      <c r="B16" s="14" t="s">
        <v>610</v>
      </c>
      <c r="C16" s="14" t="s">
        <v>57</v>
      </c>
      <c r="D16" s="15">
        <v>74.973600000000005</v>
      </c>
      <c r="E16" s="15">
        <v>74.973600000000005</v>
      </c>
    </row>
    <row r="19" spans="1:6" ht="15.75" thickBot="1" x14ac:dyDescent="0.3">
      <c r="A19" t="s">
        <v>74</v>
      </c>
    </row>
    <row r="20" spans="1:6" ht="15.75" thickBot="1" x14ac:dyDescent="0.3">
      <c r="B20" s="11" t="s">
        <v>70</v>
      </c>
      <c r="C20" s="11" t="s">
        <v>71</v>
      </c>
      <c r="D20" s="11" t="s">
        <v>72</v>
      </c>
      <c r="E20" s="11" t="s">
        <v>73</v>
      </c>
      <c r="F20" s="11" t="s">
        <v>75</v>
      </c>
    </row>
    <row r="21" spans="1:6" x14ac:dyDescent="0.25">
      <c r="B21" s="12" t="s">
        <v>81</v>
      </c>
      <c r="C21" s="12" t="s">
        <v>4</v>
      </c>
      <c r="D21" s="13">
        <v>2</v>
      </c>
      <c r="E21" s="13">
        <v>2</v>
      </c>
      <c r="F21" s="12" t="s">
        <v>75</v>
      </c>
    </row>
    <row r="22" spans="1:6" x14ac:dyDescent="0.25">
      <c r="B22" s="12" t="s">
        <v>82</v>
      </c>
      <c r="C22" s="12" t="s">
        <v>7</v>
      </c>
      <c r="D22" s="13">
        <v>5</v>
      </c>
      <c r="E22" s="13">
        <v>5</v>
      </c>
      <c r="F22" s="12" t="s">
        <v>75</v>
      </c>
    </row>
    <row r="23" spans="1:6" x14ac:dyDescent="0.25">
      <c r="B23" s="12" t="s">
        <v>83</v>
      </c>
      <c r="C23" s="12" t="s">
        <v>9</v>
      </c>
      <c r="D23" s="13">
        <v>1</v>
      </c>
      <c r="E23" s="13">
        <v>1</v>
      </c>
      <c r="F23" s="12" t="s">
        <v>75</v>
      </c>
    </row>
    <row r="24" spans="1:6" x14ac:dyDescent="0.25">
      <c r="B24" s="12" t="s">
        <v>84</v>
      </c>
      <c r="C24" s="12" t="s">
        <v>11</v>
      </c>
      <c r="D24" s="13">
        <v>3</v>
      </c>
      <c r="E24" s="13">
        <v>3</v>
      </c>
      <c r="F24" s="12" t="s">
        <v>75</v>
      </c>
    </row>
    <row r="25" spans="1:6" x14ac:dyDescent="0.25">
      <c r="B25" s="12" t="s">
        <v>85</v>
      </c>
      <c r="C25" s="12" t="s">
        <v>15</v>
      </c>
      <c r="D25" s="13">
        <v>2</v>
      </c>
      <c r="E25" s="13">
        <v>2</v>
      </c>
      <c r="F25" s="12" t="s">
        <v>75</v>
      </c>
    </row>
    <row r="26" spans="1:6" x14ac:dyDescent="0.25">
      <c r="B26" s="12" t="s">
        <v>86</v>
      </c>
      <c r="C26" s="12" t="s">
        <v>18</v>
      </c>
      <c r="D26" s="13">
        <v>10</v>
      </c>
      <c r="E26" s="13">
        <v>10</v>
      </c>
      <c r="F26" s="12" t="s">
        <v>75</v>
      </c>
    </row>
    <row r="27" spans="1:6" x14ac:dyDescent="0.25">
      <c r="B27" s="12" t="s">
        <v>87</v>
      </c>
      <c r="C27" s="12" t="s">
        <v>20</v>
      </c>
      <c r="D27" s="13">
        <v>20</v>
      </c>
      <c r="E27" s="13">
        <v>20</v>
      </c>
      <c r="F27" s="12" t="s">
        <v>75</v>
      </c>
    </row>
    <row r="28" spans="1:6" x14ac:dyDescent="0.25">
      <c r="B28" s="12" t="s">
        <v>88</v>
      </c>
      <c r="C28" s="12" t="s">
        <v>24</v>
      </c>
      <c r="D28" s="13">
        <v>50</v>
      </c>
      <c r="E28" s="13">
        <v>50</v>
      </c>
      <c r="F28" s="12" t="s">
        <v>75</v>
      </c>
    </row>
    <row r="29" spans="1:6" x14ac:dyDescent="0.25">
      <c r="B29" s="12" t="s">
        <v>89</v>
      </c>
      <c r="C29" s="12" t="s">
        <v>25</v>
      </c>
      <c r="D29" s="13">
        <v>5</v>
      </c>
      <c r="E29" s="13">
        <v>5</v>
      </c>
      <c r="F29" s="12" t="s">
        <v>75</v>
      </c>
    </row>
    <row r="30" spans="1:6" x14ac:dyDescent="0.25">
      <c r="B30" s="12" t="s">
        <v>90</v>
      </c>
      <c r="C30" s="12" t="s">
        <v>26</v>
      </c>
      <c r="D30" s="13">
        <v>5</v>
      </c>
      <c r="E30" s="13">
        <v>5</v>
      </c>
      <c r="F30" s="12" t="s">
        <v>75</v>
      </c>
    </row>
    <row r="31" spans="1:6" x14ac:dyDescent="0.25">
      <c r="B31" s="12" t="s">
        <v>91</v>
      </c>
      <c r="C31" s="12" t="s">
        <v>27</v>
      </c>
      <c r="D31" s="13">
        <v>10</v>
      </c>
      <c r="E31" s="13">
        <v>10</v>
      </c>
      <c r="F31" s="12" t="s">
        <v>75</v>
      </c>
    </row>
    <row r="32" spans="1:6" x14ac:dyDescent="0.25">
      <c r="B32" s="12" t="s">
        <v>92</v>
      </c>
      <c r="C32" s="12" t="s">
        <v>32</v>
      </c>
      <c r="D32" s="13">
        <v>10</v>
      </c>
      <c r="E32" s="13">
        <v>10</v>
      </c>
      <c r="F32" s="12" t="s">
        <v>75</v>
      </c>
    </row>
    <row r="33" spans="1:7" x14ac:dyDescent="0.25">
      <c r="B33" s="12" t="s">
        <v>93</v>
      </c>
      <c r="C33" s="12" t="s">
        <v>33</v>
      </c>
      <c r="D33" s="13">
        <v>30</v>
      </c>
      <c r="E33" s="13">
        <v>30</v>
      </c>
      <c r="F33" s="12" t="s">
        <v>75</v>
      </c>
    </row>
    <row r="34" spans="1:7" x14ac:dyDescent="0.25">
      <c r="B34" s="12" t="s">
        <v>94</v>
      </c>
      <c r="C34" s="12" t="s">
        <v>36</v>
      </c>
      <c r="D34" s="13">
        <v>50</v>
      </c>
      <c r="E34" s="13">
        <v>50</v>
      </c>
      <c r="F34" s="12" t="s">
        <v>75</v>
      </c>
    </row>
    <row r="35" spans="1:7" x14ac:dyDescent="0.25">
      <c r="B35" s="12" t="s">
        <v>95</v>
      </c>
      <c r="C35" s="12" t="s">
        <v>40</v>
      </c>
      <c r="D35" s="13">
        <v>2</v>
      </c>
      <c r="E35" s="13">
        <v>2</v>
      </c>
      <c r="F35" s="12" t="s">
        <v>75</v>
      </c>
    </row>
    <row r="36" spans="1:7" x14ac:dyDescent="0.25">
      <c r="B36" s="12" t="s">
        <v>96</v>
      </c>
      <c r="C36" s="12" t="s">
        <v>39</v>
      </c>
      <c r="D36" s="13">
        <v>5</v>
      </c>
      <c r="E36" s="13">
        <v>5</v>
      </c>
      <c r="F36" s="12" t="s">
        <v>75</v>
      </c>
    </row>
    <row r="37" spans="1:7" x14ac:dyDescent="0.25">
      <c r="B37" s="12" t="s">
        <v>97</v>
      </c>
      <c r="C37" s="12" t="s">
        <v>46</v>
      </c>
      <c r="D37" s="13">
        <v>2</v>
      </c>
      <c r="E37" s="13">
        <v>2</v>
      </c>
      <c r="F37" s="12" t="s">
        <v>75</v>
      </c>
    </row>
    <row r="38" spans="1:7" x14ac:dyDescent="0.25">
      <c r="B38" s="12" t="s">
        <v>98</v>
      </c>
      <c r="C38" s="12" t="s">
        <v>45</v>
      </c>
      <c r="D38" s="13">
        <v>20</v>
      </c>
      <c r="E38" s="13">
        <v>20</v>
      </c>
      <c r="F38" s="12" t="s">
        <v>75</v>
      </c>
    </row>
    <row r="39" spans="1:7" x14ac:dyDescent="0.25">
      <c r="B39" s="12" t="s">
        <v>99</v>
      </c>
      <c r="C39" s="12" t="s">
        <v>49</v>
      </c>
      <c r="D39" s="13">
        <v>4</v>
      </c>
      <c r="E39" s="13">
        <v>4</v>
      </c>
      <c r="F39" s="12" t="s">
        <v>75</v>
      </c>
    </row>
    <row r="40" spans="1:7" ht="15.75" thickBot="1" x14ac:dyDescent="0.3">
      <c r="B40" s="14" t="s">
        <v>100</v>
      </c>
      <c r="C40" s="14" t="s">
        <v>399</v>
      </c>
      <c r="D40" s="15">
        <v>10</v>
      </c>
      <c r="E40" s="15">
        <v>10</v>
      </c>
      <c r="F40" s="14" t="s">
        <v>75</v>
      </c>
    </row>
    <row r="43" spans="1:7" ht="15.75" thickBot="1" x14ac:dyDescent="0.3">
      <c r="A43" t="s">
        <v>51</v>
      </c>
    </row>
    <row r="44" spans="1:7" ht="15.75" thickBot="1" x14ac:dyDescent="0.3">
      <c r="B44" s="11" t="s">
        <v>70</v>
      </c>
      <c r="C44" s="11" t="s">
        <v>71</v>
      </c>
      <c r="D44" s="11" t="s">
        <v>76</v>
      </c>
      <c r="E44" s="11" t="s">
        <v>77</v>
      </c>
      <c r="F44" s="11" t="s">
        <v>78</v>
      </c>
      <c r="G44" s="11" t="s">
        <v>79</v>
      </c>
    </row>
    <row r="45" spans="1:7" x14ac:dyDescent="0.25">
      <c r="B45" s="12" t="s">
        <v>611</v>
      </c>
      <c r="C45" s="12" t="s">
        <v>57</v>
      </c>
      <c r="D45" s="13">
        <v>2</v>
      </c>
      <c r="E45" s="12" t="s">
        <v>612</v>
      </c>
      <c r="F45" s="12" t="s">
        <v>113</v>
      </c>
      <c r="G45" s="13">
        <v>1</v>
      </c>
    </row>
    <row r="46" spans="1:7" x14ac:dyDescent="0.25">
      <c r="B46" s="12" t="s">
        <v>613</v>
      </c>
      <c r="C46" s="12" t="s">
        <v>57</v>
      </c>
      <c r="D46" s="13">
        <v>5</v>
      </c>
      <c r="E46" s="12" t="s">
        <v>614</v>
      </c>
      <c r="F46" s="12" t="s">
        <v>113</v>
      </c>
      <c r="G46" s="13">
        <v>2</v>
      </c>
    </row>
    <row r="47" spans="1:7" x14ac:dyDescent="0.25">
      <c r="B47" s="12" t="s">
        <v>615</v>
      </c>
      <c r="C47" s="12" t="s">
        <v>57</v>
      </c>
      <c r="D47" s="13">
        <v>1</v>
      </c>
      <c r="E47" s="12" t="s">
        <v>616</v>
      </c>
      <c r="F47" s="12" t="s">
        <v>126</v>
      </c>
      <c r="G47" s="13">
        <v>0</v>
      </c>
    </row>
    <row r="48" spans="1:7" x14ac:dyDescent="0.25">
      <c r="B48" s="12" t="s">
        <v>617</v>
      </c>
      <c r="C48" s="12" t="s">
        <v>57</v>
      </c>
      <c r="D48" s="13">
        <v>3</v>
      </c>
      <c r="E48" s="12" t="s">
        <v>618</v>
      </c>
      <c r="F48" s="12" t="s">
        <v>126</v>
      </c>
      <c r="G48" s="13">
        <v>0</v>
      </c>
    </row>
    <row r="49" spans="2:7" x14ac:dyDescent="0.25">
      <c r="B49" s="12" t="s">
        <v>619</v>
      </c>
      <c r="C49" s="12" t="s">
        <v>57</v>
      </c>
      <c r="D49" s="13">
        <v>2</v>
      </c>
      <c r="E49" s="12" t="s">
        <v>620</v>
      </c>
      <c r="F49" s="12" t="s">
        <v>126</v>
      </c>
      <c r="G49" s="13">
        <v>0</v>
      </c>
    </row>
    <row r="50" spans="2:7" x14ac:dyDescent="0.25">
      <c r="B50" s="12" t="s">
        <v>621</v>
      </c>
      <c r="C50" s="12" t="s">
        <v>57</v>
      </c>
      <c r="D50" s="13">
        <v>10</v>
      </c>
      <c r="E50" s="12" t="s">
        <v>622</v>
      </c>
      <c r="F50" s="12" t="s">
        <v>113</v>
      </c>
      <c r="G50" s="13">
        <v>5</v>
      </c>
    </row>
    <row r="51" spans="2:7" x14ac:dyDescent="0.25">
      <c r="B51" s="12" t="s">
        <v>623</v>
      </c>
      <c r="C51" s="12" t="s">
        <v>57</v>
      </c>
      <c r="D51" s="13">
        <v>20</v>
      </c>
      <c r="E51" s="12" t="s">
        <v>624</v>
      </c>
      <c r="F51" s="12" t="s">
        <v>113</v>
      </c>
      <c r="G51" s="13">
        <v>18</v>
      </c>
    </row>
    <row r="52" spans="2:7" x14ac:dyDescent="0.25">
      <c r="B52" s="12" t="s">
        <v>625</v>
      </c>
      <c r="C52" s="12" t="s">
        <v>57</v>
      </c>
      <c r="D52" s="13">
        <v>50</v>
      </c>
      <c r="E52" s="12" t="s">
        <v>626</v>
      </c>
      <c r="F52" s="12" t="s">
        <v>113</v>
      </c>
      <c r="G52" s="13">
        <v>48</v>
      </c>
    </row>
    <row r="53" spans="2:7" x14ac:dyDescent="0.25">
      <c r="B53" s="12" t="s">
        <v>627</v>
      </c>
      <c r="C53" s="12" t="s">
        <v>57</v>
      </c>
      <c r="D53" s="13">
        <v>5</v>
      </c>
      <c r="E53" s="12" t="s">
        <v>628</v>
      </c>
      <c r="F53" s="12" t="s">
        <v>113</v>
      </c>
      <c r="G53" s="13">
        <v>4</v>
      </c>
    </row>
    <row r="54" spans="2:7" x14ac:dyDescent="0.25">
      <c r="B54" s="12" t="s">
        <v>629</v>
      </c>
      <c r="C54" s="12" t="s">
        <v>57</v>
      </c>
      <c r="D54" s="13">
        <v>5</v>
      </c>
      <c r="E54" s="12" t="s">
        <v>630</v>
      </c>
      <c r="F54" s="12" t="s">
        <v>113</v>
      </c>
      <c r="G54" s="13">
        <v>4</v>
      </c>
    </row>
    <row r="55" spans="2:7" x14ac:dyDescent="0.25">
      <c r="B55" s="12" t="s">
        <v>631</v>
      </c>
      <c r="C55" s="12" t="s">
        <v>57</v>
      </c>
      <c r="D55" s="13">
        <v>10</v>
      </c>
      <c r="E55" s="12" t="s">
        <v>632</v>
      </c>
      <c r="F55" s="12" t="s">
        <v>113</v>
      </c>
      <c r="G55" s="13">
        <v>9</v>
      </c>
    </row>
    <row r="56" spans="2:7" x14ac:dyDescent="0.25">
      <c r="B56" s="12" t="s">
        <v>633</v>
      </c>
      <c r="C56" s="12" t="s">
        <v>57</v>
      </c>
      <c r="D56" s="13">
        <v>10</v>
      </c>
      <c r="E56" s="12" t="s">
        <v>634</v>
      </c>
      <c r="F56" s="12" t="s">
        <v>113</v>
      </c>
      <c r="G56" s="13">
        <v>9</v>
      </c>
    </row>
    <row r="57" spans="2:7" x14ac:dyDescent="0.25">
      <c r="B57" s="12" t="s">
        <v>635</v>
      </c>
      <c r="C57" s="12" t="s">
        <v>57</v>
      </c>
      <c r="D57" s="13">
        <v>30</v>
      </c>
      <c r="E57" s="12" t="s">
        <v>636</v>
      </c>
      <c r="F57" s="12" t="s">
        <v>113</v>
      </c>
      <c r="G57" s="13">
        <v>25</v>
      </c>
    </row>
    <row r="58" spans="2:7" x14ac:dyDescent="0.25">
      <c r="B58" s="12" t="s">
        <v>637</v>
      </c>
      <c r="C58" s="12" t="s">
        <v>57</v>
      </c>
      <c r="D58" s="13">
        <v>50</v>
      </c>
      <c r="E58" s="12" t="s">
        <v>638</v>
      </c>
      <c r="F58" s="12" t="s">
        <v>113</v>
      </c>
      <c r="G58" s="13">
        <v>45</v>
      </c>
    </row>
    <row r="59" spans="2:7" x14ac:dyDescent="0.25">
      <c r="B59" s="12" t="s">
        <v>639</v>
      </c>
      <c r="C59" s="12" t="s">
        <v>57</v>
      </c>
      <c r="D59" s="13">
        <v>2</v>
      </c>
      <c r="E59" s="12" t="s">
        <v>640</v>
      </c>
      <c r="F59" s="12" t="s">
        <v>113</v>
      </c>
      <c r="G59" s="13">
        <v>1</v>
      </c>
    </row>
    <row r="60" spans="2:7" x14ac:dyDescent="0.25">
      <c r="B60" s="12" t="s">
        <v>641</v>
      </c>
      <c r="C60" s="12" t="s">
        <v>57</v>
      </c>
      <c r="D60" s="13">
        <v>5</v>
      </c>
      <c r="E60" s="12" t="s">
        <v>642</v>
      </c>
      <c r="F60" s="12" t="s">
        <v>113</v>
      </c>
      <c r="G60" s="13">
        <v>4</v>
      </c>
    </row>
    <row r="61" spans="2:7" x14ac:dyDescent="0.25">
      <c r="B61" s="12" t="s">
        <v>643</v>
      </c>
      <c r="C61" s="12" t="s">
        <v>57</v>
      </c>
      <c r="D61" s="13">
        <v>2</v>
      </c>
      <c r="E61" s="12" t="s">
        <v>644</v>
      </c>
      <c r="F61" s="12" t="s">
        <v>113</v>
      </c>
      <c r="G61" s="13">
        <v>1</v>
      </c>
    </row>
    <row r="62" spans="2:7" x14ac:dyDescent="0.25">
      <c r="B62" s="12" t="s">
        <v>645</v>
      </c>
      <c r="C62" s="12" t="s">
        <v>57</v>
      </c>
      <c r="D62" s="13">
        <v>20</v>
      </c>
      <c r="E62" s="12" t="s">
        <v>646</v>
      </c>
      <c r="F62" s="12" t="s">
        <v>113</v>
      </c>
      <c r="G62" s="13">
        <v>10</v>
      </c>
    </row>
    <row r="63" spans="2:7" x14ac:dyDescent="0.25">
      <c r="B63" s="12" t="s">
        <v>647</v>
      </c>
      <c r="C63" s="12" t="s">
        <v>57</v>
      </c>
      <c r="D63" s="13">
        <v>4</v>
      </c>
      <c r="E63" s="12" t="s">
        <v>648</v>
      </c>
      <c r="F63" s="12" t="s">
        <v>113</v>
      </c>
      <c r="G63" s="13">
        <v>1</v>
      </c>
    </row>
    <row r="64" spans="2:7" x14ac:dyDescent="0.25">
      <c r="B64" s="12" t="s">
        <v>649</v>
      </c>
      <c r="C64" s="12" t="s">
        <v>57</v>
      </c>
      <c r="D64" s="13">
        <v>10</v>
      </c>
      <c r="E64" s="12" t="s">
        <v>650</v>
      </c>
      <c r="F64" s="12" t="s">
        <v>113</v>
      </c>
      <c r="G64" s="13">
        <v>5</v>
      </c>
    </row>
    <row r="65" spans="2:7" x14ac:dyDescent="0.25">
      <c r="B65" s="12" t="s">
        <v>651</v>
      </c>
      <c r="C65" s="12" t="s">
        <v>57</v>
      </c>
      <c r="D65" s="13">
        <v>2</v>
      </c>
      <c r="E65" s="12" t="s">
        <v>652</v>
      </c>
      <c r="F65" s="12" t="s">
        <v>126</v>
      </c>
      <c r="G65" s="12">
        <v>0</v>
      </c>
    </row>
    <row r="66" spans="2:7" x14ac:dyDescent="0.25">
      <c r="B66" s="12" t="s">
        <v>653</v>
      </c>
      <c r="C66" s="12" t="s">
        <v>57</v>
      </c>
      <c r="D66" s="13">
        <v>5</v>
      </c>
      <c r="E66" s="12" t="s">
        <v>654</v>
      </c>
      <c r="F66" s="12" t="s">
        <v>113</v>
      </c>
      <c r="G66" s="12">
        <v>45</v>
      </c>
    </row>
    <row r="67" spans="2:7" x14ac:dyDescent="0.25">
      <c r="B67" s="12" t="s">
        <v>655</v>
      </c>
      <c r="C67" s="12" t="s">
        <v>57</v>
      </c>
      <c r="D67" s="13">
        <v>1</v>
      </c>
      <c r="E67" s="12" t="s">
        <v>656</v>
      </c>
      <c r="F67" s="12" t="s">
        <v>113</v>
      </c>
      <c r="G67" s="12">
        <v>1</v>
      </c>
    </row>
    <row r="68" spans="2:7" x14ac:dyDescent="0.25">
      <c r="B68" s="12" t="s">
        <v>657</v>
      </c>
      <c r="C68" s="12" t="s">
        <v>57</v>
      </c>
      <c r="D68" s="13">
        <v>3</v>
      </c>
      <c r="E68" s="12" t="s">
        <v>658</v>
      </c>
      <c r="F68" s="12" t="s">
        <v>113</v>
      </c>
      <c r="G68" s="12">
        <v>17</v>
      </c>
    </row>
    <row r="69" spans="2:7" x14ac:dyDescent="0.25">
      <c r="B69" s="12" t="s">
        <v>659</v>
      </c>
      <c r="C69" s="12" t="s">
        <v>57</v>
      </c>
      <c r="D69" s="13">
        <v>2</v>
      </c>
      <c r="E69" s="12" t="s">
        <v>660</v>
      </c>
      <c r="F69" s="12" t="s">
        <v>113</v>
      </c>
      <c r="G69" s="12">
        <v>3</v>
      </c>
    </row>
    <row r="70" spans="2:7" x14ac:dyDescent="0.25">
      <c r="B70" s="12" t="s">
        <v>661</v>
      </c>
      <c r="C70" s="12" t="s">
        <v>57</v>
      </c>
      <c r="D70" s="13">
        <v>10</v>
      </c>
      <c r="E70" s="12" t="s">
        <v>662</v>
      </c>
      <c r="F70" s="12" t="s">
        <v>126</v>
      </c>
      <c r="G70" s="12">
        <v>0</v>
      </c>
    </row>
    <row r="71" spans="2:7" x14ac:dyDescent="0.25">
      <c r="B71" s="12" t="s">
        <v>663</v>
      </c>
      <c r="C71" s="12" t="s">
        <v>57</v>
      </c>
      <c r="D71" s="13">
        <v>20</v>
      </c>
      <c r="E71" s="12" t="s">
        <v>664</v>
      </c>
      <c r="F71" s="12" t="s">
        <v>113</v>
      </c>
      <c r="G71" s="12">
        <v>30</v>
      </c>
    </row>
    <row r="72" spans="2:7" x14ac:dyDescent="0.25">
      <c r="B72" s="12" t="s">
        <v>665</v>
      </c>
      <c r="C72" s="12" t="s">
        <v>57</v>
      </c>
      <c r="D72" s="13">
        <v>50</v>
      </c>
      <c r="E72" s="12" t="s">
        <v>666</v>
      </c>
      <c r="F72" s="12" t="s">
        <v>126</v>
      </c>
      <c r="G72" s="12">
        <v>0</v>
      </c>
    </row>
    <row r="73" spans="2:7" x14ac:dyDescent="0.25">
      <c r="B73" s="12" t="s">
        <v>667</v>
      </c>
      <c r="C73" s="12" t="s">
        <v>57</v>
      </c>
      <c r="D73" s="13">
        <v>5</v>
      </c>
      <c r="E73" s="12" t="s">
        <v>668</v>
      </c>
      <c r="F73" s="12" t="s">
        <v>126</v>
      </c>
      <c r="G73" s="12">
        <v>0</v>
      </c>
    </row>
    <row r="74" spans="2:7" x14ac:dyDescent="0.25">
      <c r="B74" s="12" t="s">
        <v>669</v>
      </c>
      <c r="C74" s="12" t="s">
        <v>57</v>
      </c>
      <c r="D74" s="13">
        <v>5</v>
      </c>
      <c r="E74" s="12" t="s">
        <v>670</v>
      </c>
      <c r="F74" s="12" t="s">
        <v>126</v>
      </c>
      <c r="G74" s="12">
        <v>0</v>
      </c>
    </row>
    <row r="75" spans="2:7" x14ac:dyDescent="0.25">
      <c r="B75" s="12" t="s">
        <v>671</v>
      </c>
      <c r="C75" s="12" t="s">
        <v>57</v>
      </c>
      <c r="D75" s="13">
        <v>10</v>
      </c>
      <c r="E75" s="12" t="s">
        <v>672</v>
      </c>
      <c r="F75" s="12" t="s">
        <v>126</v>
      </c>
      <c r="G75" s="12">
        <v>0</v>
      </c>
    </row>
    <row r="76" spans="2:7" x14ac:dyDescent="0.25">
      <c r="B76" s="12" t="s">
        <v>673</v>
      </c>
      <c r="C76" s="12" t="s">
        <v>57</v>
      </c>
      <c r="D76" s="13">
        <v>10</v>
      </c>
      <c r="E76" s="12" t="s">
        <v>674</v>
      </c>
      <c r="F76" s="12" t="s">
        <v>126</v>
      </c>
      <c r="G76" s="12">
        <v>0</v>
      </c>
    </row>
    <row r="77" spans="2:7" x14ac:dyDescent="0.25">
      <c r="B77" s="12" t="s">
        <v>675</v>
      </c>
      <c r="C77" s="12" t="s">
        <v>57</v>
      </c>
      <c r="D77" s="13">
        <v>30</v>
      </c>
      <c r="E77" s="12" t="s">
        <v>676</v>
      </c>
      <c r="F77" s="12" t="s">
        <v>126</v>
      </c>
      <c r="G77" s="12">
        <v>0</v>
      </c>
    </row>
    <row r="78" spans="2:7" x14ac:dyDescent="0.25">
      <c r="B78" s="12" t="s">
        <v>677</v>
      </c>
      <c r="C78" s="12" t="s">
        <v>57</v>
      </c>
      <c r="D78" s="13">
        <v>50</v>
      </c>
      <c r="E78" s="12" t="s">
        <v>678</v>
      </c>
      <c r="F78" s="12" t="s">
        <v>126</v>
      </c>
      <c r="G78" s="12">
        <v>0</v>
      </c>
    </row>
    <row r="79" spans="2:7" x14ac:dyDescent="0.25">
      <c r="B79" s="12" t="s">
        <v>679</v>
      </c>
      <c r="C79" s="12" t="s">
        <v>57</v>
      </c>
      <c r="D79" s="13">
        <v>2</v>
      </c>
      <c r="E79" s="12" t="s">
        <v>680</v>
      </c>
      <c r="F79" s="12" t="s">
        <v>126</v>
      </c>
      <c r="G79" s="12">
        <v>0</v>
      </c>
    </row>
    <row r="80" spans="2:7" x14ac:dyDescent="0.25">
      <c r="B80" s="12" t="s">
        <v>681</v>
      </c>
      <c r="C80" s="12" t="s">
        <v>57</v>
      </c>
      <c r="D80" s="13">
        <v>5</v>
      </c>
      <c r="E80" s="12" t="s">
        <v>682</v>
      </c>
      <c r="F80" s="12" t="s">
        <v>126</v>
      </c>
      <c r="G80" s="12">
        <v>0</v>
      </c>
    </row>
    <row r="81" spans="2:7" x14ac:dyDescent="0.25">
      <c r="B81" s="12" t="s">
        <v>683</v>
      </c>
      <c r="C81" s="12" t="s">
        <v>57</v>
      </c>
      <c r="D81" s="13">
        <v>2</v>
      </c>
      <c r="E81" s="12" t="s">
        <v>684</v>
      </c>
      <c r="F81" s="12" t="s">
        <v>126</v>
      </c>
      <c r="G81" s="12">
        <v>0</v>
      </c>
    </row>
    <row r="82" spans="2:7" x14ac:dyDescent="0.25">
      <c r="B82" s="12" t="s">
        <v>685</v>
      </c>
      <c r="C82" s="12" t="s">
        <v>57</v>
      </c>
      <c r="D82" s="13">
        <v>20</v>
      </c>
      <c r="E82" s="12" t="s">
        <v>686</v>
      </c>
      <c r="F82" s="12" t="s">
        <v>126</v>
      </c>
      <c r="G82" s="12">
        <v>0</v>
      </c>
    </row>
    <row r="83" spans="2:7" x14ac:dyDescent="0.25">
      <c r="B83" s="12" t="s">
        <v>687</v>
      </c>
      <c r="C83" s="12" t="s">
        <v>57</v>
      </c>
      <c r="D83" s="13">
        <v>4</v>
      </c>
      <c r="E83" s="12" t="s">
        <v>688</v>
      </c>
      <c r="F83" s="12" t="s">
        <v>126</v>
      </c>
      <c r="G83" s="12">
        <v>0</v>
      </c>
    </row>
    <row r="84" spans="2:7" x14ac:dyDescent="0.25">
      <c r="B84" s="12" t="s">
        <v>689</v>
      </c>
      <c r="C84" s="12" t="s">
        <v>57</v>
      </c>
      <c r="D84" s="13">
        <v>10</v>
      </c>
      <c r="E84" s="12" t="s">
        <v>690</v>
      </c>
      <c r="F84" s="12" t="s">
        <v>126</v>
      </c>
      <c r="G84" s="12">
        <v>0</v>
      </c>
    </row>
    <row r="85" spans="2:7" x14ac:dyDescent="0.25">
      <c r="B85" s="12" t="s">
        <v>610</v>
      </c>
      <c r="C85" s="12" t="s">
        <v>57</v>
      </c>
      <c r="D85" s="13">
        <v>74.973600000000005</v>
      </c>
      <c r="E85" s="12" t="s">
        <v>691</v>
      </c>
      <c r="F85" s="12" t="s">
        <v>113</v>
      </c>
      <c r="G85" s="12">
        <v>2.6399999999995316E-2</v>
      </c>
    </row>
    <row r="86" spans="2:7" ht="15.75" thickBot="1" x14ac:dyDescent="0.3">
      <c r="B86" s="14" t="s">
        <v>692</v>
      </c>
      <c r="C86" s="14"/>
      <c r="D86" s="14"/>
      <c r="E86" s="14"/>
      <c r="F86" s="14"/>
      <c r="G86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topLeftCell="F1" workbookViewId="0">
      <selection activeCell="A3" sqref="A3:T3"/>
    </sheetView>
  </sheetViews>
  <sheetFormatPr defaultRowHeight="15" x14ac:dyDescent="0.25"/>
  <sheetData>
    <row r="1" spans="1:23" x14ac:dyDescent="0.25">
      <c r="A1" t="s">
        <v>50</v>
      </c>
    </row>
    <row r="2" spans="1:23" x14ac:dyDescent="0.25">
      <c r="A2" t="s">
        <v>4</v>
      </c>
      <c r="B2" t="s">
        <v>7</v>
      </c>
      <c r="C2" t="s">
        <v>9</v>
      </c>
      <c r="D2" t="s">
        <v>11</v>
      </c>
      <c r="E2" t="s">
        <v>15</v>
      </c>
      <c r="F2" t="s">
        <v>18</v>
      </c>
      <c r="G2" t="s">
        <v>20</v>
      </c>
      <c r="H2" t="s">
        <v>24</v>
      </c>
      <c r="I2" t="s">
        <v>25</v>
      </c>
      <c r="J2" t="s">
        <v>26</v>
      </c>
      <c r="K2" t="s">
        <v>27</v>
      </c>
      <c r="L2" t="s">
        <v>32</v>
      </c>
      <c r="M2" t="s">
        <v>33</v>
      </c>
      <c r="N2" t="s">
        <v>36</v>
      </c>
      <c r="O2" t="s">
        <v>40</v>
      </c>
      <c r="P2" t="s">
        <v>39</v>
      </c>
      <c r="Q2" t="s">
        <v>46</v>
      </c>
      <c r="R2" t="s">
        <v>45</v>
      </c>
      <c r="S2" t="s">
        <v>49</v>
      </c>
      <c r="T2" t="s">
        <v>399</v>
      </c>
    </row>
    <row r="3" spans="1:23" x14ac:dyDescent="0.25">
      <c r="A3">
        <v>2</v>
      </c>
      <c r="B3">
        <v>5</v>
      </c>
      <c r="C3">
        <v>1</v>
      </c>
      <c r="D3">
        <v>3</v>
      </c>
      <c r="E3">
        <v>2</v>
      </c>
      <c r="F3">
        <v>10</v>
      </c>
      <c r="G3">
        <v>20</v>
      </c>
      <c r="H3">
        <v>50</v>
      </c>
      <c r="I3">
        <v>5</v>
      </c>
      <c r="J3">
        <v>5</v>
      </c>
      <c r="K3">
        <v>10</v>
      </c>
      <c r="L3">
        <v>10</v>
      </c>
      <c r="M3">
        <v>30</v>
      </c>
      <c r="N3">
        <v>50</v>
      </c>
      <c r="O3">
        <v>2</v>
      </c>
      <c r="P3">
        <v>5</v>
      </c>
      <c r="Q3">
        <v>2</v>
      </c>
      <c r="R3">
        <v>20</v>
      </c>
      <c r="S3">
        <v>4</v>
      </c>
      <c r="T3">
        <v>10</v>
      </c>
    </row>
    <row r="5" spans="1:23" x14ac:dyDescent="0.25">
      <c r="A5" t="s">
        <v>201</v>
      </c>
    </row>
    <row r="6" spans="1:23" x14ac:dyDescent="0.25">
      <c r="A6" t="s">
        <v>4</v>
      </c>
      <c r="B6" t="s">
        <v>7</v>
      </c>
      <c r="C6" t="s">
        <v>9</v>
      </c>
      <c r="D6" t="s">
        <v>11</v>
      </c>
      <c r="E6" t="s">
        <v>15</v>
      </c>
      <c r="F6" t="s">
        <v>18</v>
      </c>
      <c r="G6" t="s">
        <v>20</v>
      </c>
      <c r="H6" t="s">
        <v>24</v>
      </c>
      <c r="I6" t="s">
        <v>25</v>
      </c>
      <c r="J6" t="s">
        <v>26</v>
      </c>
      <c r="K6" t="s">
        <v>27</v>
      </c>
      <c r="L6" t="s">
        <v>32</v>
      </c>
      <c r="M6" t="s">
        <v>33</v>
      </c>
      <c r="N6" t="s">
        <v>36</v>
      </c>
      <c r="O6" t="s">
        <v>40</v>
      </c>
      <c r="P6" t="s">
        <v>39</v>
      </c>
      <c r="Q6" t="s">
        <v>46</v>
      </c>
      <c r="R6" t="s">
        <v>45</v>
      </c>
      <c r="S6" t="s">
        <v>49</v>
      </c>
      <c r="T6" t="s">
        <v>399</v>
      </c>
      <c r="U6" t="s">
        <v>57</v>
      </c>
    </row>
    <row r="7" spans="1:23" x14ac:dyDescent="0.25">
      <c r="A7">
        <v>2.2499999999999999E-2</v>
      </c>
      <c r="B7">
        <v>3.0000000000000006E-2</v>
      </c>
      <c r="C7">
        <v>6.25E-2</v>
      </c>
      <c r="D7">
        <v>0.12000000000000002</v>
      </c>
      <c r="E7">
        <v>9.6799999999999997E-2</v>
      </c>
      <c r="F7">
        <v>0.22499999999999998</v>
      </c>
      <c r="G7">
        <v>0.125</v>
      </c>
      <c r="H7">
        <v>0.18</v>
      </c>
      <c r="I7">
        <v>0.25</v>
      </c>
      <c r="J7">
        <v>0.20250000000000001</v>
      </c>
      <c r="K7">
        <v>0.36</v>
      </c>
      <c r="L7">
        <v>0.25</v>
      </c>
      <c r="M7">
        <v>0.20000000000000004</v>
      </c>
      <c r="N7">
        <v>0.3125</v>
      </c>
      <c r="O7">
        <v>0.5625</v>
      </c>
      <c r="P7">
        <v>0.36</v>
      </c>
      <c r="Q7">
        <v>1</v>
      </c>
      <c r="R7">
        <v>0.89999999999999991</v>
      </c>
      <c r="S7">
        <v>0.75</v>
      </c>
      <c r="T7">
        <v>0.44999999999999996</v>
      </c>
      <c r="U7">
        <f>SUMPRODUCT(A3:T3,A7:T7)</f>
        <v>74.973600000000005</v>
      </c>
    </row>
    <row r="10" spans="1:23" x14ac:dyDescent="0.25">
      <c r="A10" t="s">
        <v>51</v>
      </c>
    </row>
    <row r="11" spans="1:23" x14ac:dyDescent="0.25">
      <c r="A11" t="s">
        <v>4</v>
      </c>
      <c r="B11" t="s">
        <v>7</v>
      </c>
      <c r="C11" t="s">
        <v>9</v>
      </c>
      <c r="D11" t="s">
        <v>11</v>
      </c>
      <c r="E11" t="s">
        <v>15</v>
      </c>
      <c r="F11" t="s">
        <v>18</v>
      </c>
      <c r="G11" t="s">
        <v>20</v>
      </c>
      <c r="H11" t="s">
        <v>24</v>
      </c>
      <c r="I11" t="s">
        <v>25</v>
      </c>
      <c r="J11" t="s">
        <v>26</v>
      </c>
      <c r="K11" t="s">
        <v>27</v>
      </c>
      <c r="L11" t="s">
        <v>32</v>
      </c>
      <c r="M11" t="s">
        <v>33</v>
      </c>
      <c r="N11" t="s">
        <v>36</v>
      </c>
      <c r="O11" t="s">
        <v>40</v>
      </c>
      <c r="P11" t="s">
        <v>39</v>
      </c>
      <c r="Q11" t="s">
        <v>46</v>
      </c>
      <c r="R11" t="s">
        <v>45</v>
      </c>
      <c r="S11" t="s">
        <v>49</v>
      </c>
      <c r="T11" t="s">
        <v>399</v>
      </c>
      <c r="U11" t="s">
        <v>57</v>
      </c>
      <c r="W11" t="s">
        <v>202</v>
      </c>
    </row>
    <row r="12" spans="1:23" x14ac:dyDescent="0.25">
      <c r="A12">
        <v>1</v>
      </c>
      <c r="U12">
        <f>SUMPRODUCT($A$3:$T$3,A12:T12)</f>
        <v>2</v>
      </c>
      <c r="V12" t="s">
        <v>55</v>
      </c>
      <c r="W12" s="10">
        <v>1</v>
      </c>
    </row>
    <row r="13" spans="1:23" x14ac:dyDescent="0.25">
      <c r="B13">
        <v>1</v>
      </c>
      <c r="U13">
        <f>SUMPRODUCT($A$3:$T$3,A13:T13)</f>
        <v>5</v>
      </c>
      <c r="V13" t="s">
        <v>55</v>
      </c>
      <c r="W13" s="10">
        <v>3</v>
      </c>
    </row>
    <row r="14" spans="1:23" x14ac:dyDescent="0.25">
      <c r="C14">
        <v>1</v>
      </c>
      <c r="U14">
        <f t="shared" ref="U14:U51" si="0">SUMPRODUCT($A$3:$T$3,A14:T14)</f>
        <v>1</v>
      </c>
      <c r="V14" t="s">
        <v>55</v>
      </c>
      <c r="W14" s="10">
        <v>1</v>
      </c>
    </row>
    <row r="15" spans="1:23" x14ac:dyDescent="0.25">
      <c r="D15">
        <v>1</v>
      </c>
      <c r="U15">
        <f t="shared" si="0"/>
        <v>3</v>
      </c>
      <c r="V15" t="s">
        <v>55</v>
      </c>
      <c r="W15" s="10">
        <v>3</v>
      </c>
    </row>
    <row r="16" spans="1:23" x14ac:dyDescent="0.25">
      <c r="E16">
        <v>1</v>
      </c>
      <c r="U16">
        <f t="shared" si="0"/>
        <v>2</v>
      </c>
      <c r="V16" t="s">
        <v>55</v>
      </c>
      <c r="W16" s="10">
        <v>2</v>
      </c>
    </row>
    <row r="17" spans="1:23" x14ac:dyDescent="0.25">
      <c r="F17">
        <v>1</v>
      </c>
      <c r="U17">
        <f t="shared" si="0"/>
        <v>10</v>
      </c>
      <c r="V17" t="s">
        <v>55</v>
      </c>
      <c r="W17" s="10">
        <v>5</v>
      </c>
    </row>
    <row r="18" spans="1:23" x14ac:dyDescent="0.25">
      <c r="G18">
        <v>1</v>
      </c>
      <c r="U18">
        <f t="shared" si="0"/>
        <v>20</v>
      </c>
      <c r="V18" t="s">
        <v>55</v>
      </c>
      <c r="W18" s="10">
        <v>2</v>
      </c>
    </row>
    <row r="19" spans="1:23" x14ac:dyDescent="0.25">
      <c r="H19">
        <v>1</v>
      </c>
      <c r="U19">
        <f t="shared" si="0"/>
        <v>50</v>
      </c>
      <c r="V19" t="s">
        <v>55</v>
      </c>
      <c r="W19" s="10">
        <v>2</v>
      </c>
    </row>
    <row r="20" spans="1:23" x14ac:dyDescent="0.25">
      <c r="I20">
        <v>1</v>
      </c>
      <c r="U20">
        <f t="shared" si="0"/>
        <v>5</v>
      </c>
      <c r="V20" t="s">
        <v>55</v>
      </c>
      <c r="W20" s="10">
        <v>1</v>
      </c>
    </row>
    <row r="21" spans="1:23" x14ac:dyDescent="0.25">
      <c r="J21">
        <v>1</v>
      </c>
      <c r="U21">
        <f t="shared" si="0"/>
        <v>5</v>
      </c>
      <c r="V21" t="s">
        <v>55</v>
      </c>
      <c r="W21" s="10">
        <v>1</v>
      </c>
    </row>
    <row r="22" spans="1:23" x14ac:dyDescent="0.25">
      <c r="K22">
        <v>1</v>
      </c>
      <c r="U22">
        <f t="shared" si="0"/>
        <v>10</v>
      </c>
      <c r="V22" t="s">
        <v>55</v>
      </c>
      <c r="W22" s="10">
        <v>1</v>
      </c>
    </row>
    <row r="23" spans="1:23" x14ac:dyDescent="0.25">
      <c r="L23">
        <v>1</v>
      </c>
      <c r="U23">
        <f t="shared" si="0"/>
        <v>10</v>
      </c>
      <c r="V23" t="s">
        <v>55</v>
      </c>
      <c r="W23" s="10">
        <v>1</v>
      </c>
    </row>
    <row r="24" spans="1:23" x14ac:dyDescent="0.25">
      <c r="M24">
        <v>1</v>
      </c>
      <c r="U24">
        <f t="shared" si="0"/>
        <v>30</v>
      </c>
      <c r="V24" t="s">
        <v>55</v>
      </c>
      <c r="W24" s="10">
        <v>5</v>
      </c>
    </row>
    <row r="25" spans="1:23" x14ac:dyDescent="0.25">
      <c r="N25">
        <v>1</v>
      </c>
      <c r="U25">
        <f t="shared" si="0"/>
        <v>50</v>
      </c>
      <c r="V25" t="s">
        <v>55</v>
      </c>
      <c r="W25" s="10">
        <v>5</v>
      </c>
    </row>
    <row r="26" spans="1:23" x14ac:dyDescent="0.25">
      <c r="O26">
        <v>1</v>
      </c>
      <c r="U26">
        <f t="shared" si="0"/>
        <v>2</v>
      </c>
      <c r="V26" t="s">
        <v>55</v>
      </c>
      <c r="W26" s="10">
        <v>1</v>
      </c>
    </row>
    <row r="27" spans="1:23" x14ac:dyDescent="0.25">
      <c r="P27">
        <v>1</v>
      </c>
      <c r="U27">
        <f t="shared" si="0"/>
        <v>5</v>
      </c>
      <c r="V27" t="s">
        <v>55</v>
      </c>
      <c r="W27" s="10">
        <v>1</v>
      </c>
    </row>
    <row r="28" spans="1:23" x14ac:dyDescent="0.25">
      <c r="Q28">
        <v>1</v>
      </c>
      <c r="U28">
        <f t="shared" si="0"/>
        <v>2</v>
      </c>
      <c r="V28" t="s">
        <v>55</v>
      </c>
      <c r="W28" s="10">
        <v>1</v>
      </c>
    </row>
    <row r="29" spans="1:23" x14ac:dyDescent="0.25">
      <c r="R29">
        <v>1</v>
      </c>
      <c r="U29">
        <f t="shared" si="0"/>
        <v>20</v>
      </c>
      <c r="V29" t="s">
        <v>55</v>
      </c>
      <c r="W29" s="10">
        <v>10</v>
      </c>
    </row>
    <row r="30" spans="1:23" x14ac:dyDescent="0.25">
      <c r="S30">
        <v>1</v>
      </c>
      <c r="U30">
        <f t="shared" si="0"/>
        <v>4</v>
      </c>
      <c r="V30" t="s">
        <v>55</v>
      </c>
      <c r="W30" s="10">
        <v>3</v>
      </c>
    </row>
    <row r="31" spans="1:23" x14ac:dyDescent="0.25">
      <c r="T31">
        <v>1</v>
      </c>
      <c r="U31">
        <f t="shared" si="0"/>
        <v>10</v>
      </c>
      <c r="V31" t="s">
        <v>55</v>
      </c>
      <c r="W31" s="10">
        <v>5</v>
      </c>
    </row>
    <row r="32" spans="1:23" x14ac:dyDescent="0.25">
      <c r="A32">
        <v>1</v>
      </c>
      <c r="U32">
        <f t="shared" si="0"/>
        <v>2</v>
      </c>
      <c r="V32" t="s">
        <v>54</v>
      </c>
      <c r="W32" s="1">
        <v>2</v>
      </c>
    </row>
    <row r="33" spans="2:23" x14ac:dyDescent="0.25">
      <c r="B33">
        <v>1</v>
      </c>
      <c r="U33">
        <f t="shared" si="0"/>
        <v>5</v>
      </c>
      <c r="V33" t="s">
        <v>54</v>
      </c>
      <c r="W33" s="1">
        <v>50</v>
      </c>
    </row>
    <row r="34" spans="2:23" x14ac:dyDescent="0.25">
      <c r="C34">
        <v>1</v>
      </c>
      <c r="U34">
        <f t="shared" si="0"/>
        <v>1</v>
      </c>
      <c r="V34" t="s">
        <v>54</v>
      </c>
      <c r="W34" s="1">
        <v>2</v>
      </c>
    </row>
    <row r="35" spans="2:23" x14ac:dyDescent="0.25">
      <c r="D35">
        <v>1</v>
      </c>
      <c r="U35">
        <f t="shared" si="0"/>
        <v>3</v>
      </c>
      <c r="V35" t="s">
        <v>54</v>
      </c>
      <c r="W35" s="1">
        <v>20</v>
      </c>
    </row>
    <row r="36" spans="2:23" x14ac:dyDescent="0.25">
      <c r="E36">
        <v>1</v>
      </c>
      <c r="U36">
        <f t="shared" si="0"/>
        <v>2</v>
      </c>
      <c r="V36" t="s">
        <v>54</v>
      </c>
      <c r="W36" s="1">
        <v>5</v>
      </c>
    </row>
    <row r="37" spans="2:23" x14ac:dyDescent="0.25">
      <c r="F37">
        <v>1</v>
      </c>
      <c r="U37">
        <f t="shared" si="0"/>
        <v>10</v>
      </c>
      <c r="V37" t="s">
        <v>54</v>
      </c>
      <c r="W37" s="1">
        <v>10</v>
      </c>
    </row>
    <row r="38" spans="2:23" x14ac:dyDescent="0.25">
      <c r="G38">
        <v>1</v>
      </c>
      <c r="U38">
        <f t="shared" si="0"/>
        <v>20</v>
      </c>
      <c r="V38" t="s">
        <v>54</v>
      </c>
      <c r="W38" s="1">
        <v>50</v>
      </c>
    </row>
    <row r="39" spans="2:23" x14ac:dyDescent="0.25">
      <c r="H39">
        <v>1</v>
      </c>
      <c r="U39">
        <f t="shared" si="0"/>
        <v>50</v>
      </c>
      <c r="V39" t="s">
        <v>54</v>
      </c>
      <c r="W39" s="1">
        <v>50</v>
      </c>
    </row>
    <row r="40" spans="2:23" x14ac:dyDescent="0.25">
      <c r="I40">
        <v>1</v>
      </c>
      <c r="U40">
        <f t="shared" si="0"/>
        <v>5</v>
      </c>
      <c r="V40" t="s">
        <v>54</v>
      </c>
      <c r="W40" s="1">
        <v>5</v>
      </c>
    </row>
    <row r="41" spans="2:23" x14ac:dyDescent="0.25">
      <c r="J41">
        <v>1</v>
      </c>
      <c r="U41">
        <f t="shared" si="0"/>
        <v>5</v>
      </c>
      <c r="V41" t="s">
        <v>54</v>
      </c>
      <c r="W41" s="1">
        <v>5</v>
      </c>
    </row>
    <row r="42" spans="2:23" x14ac:dyDescent="0.25">
      <c r="K42">
        <v>1</v>
      </c>
      <c r="U42">
        <f t="shared" si="0"/>
        <v>10</v>
      </c>
      <c r="V42" t="s">
        <v>54</v>
      </c>
      <c r="W42" s="1">
        <v>10</v>
      </c>
    </row>
    <row r="43" spans="2:23" x14ac:dyDescent="0.25">
      <c r="L43">
        <v>1</v>
      </c>
      <c r="U43">
        <f t="shared" si="0"/>
        <v>10</v>
      </c>
      <c r="V43" t="s">
        <v>54</v>
      </c>
      <c r="W43" s="1">
        <v>10</v>
      </c>
    </row>
    <row r="44" spans="2:23" x14ac:dyDescent="0.25">
      <c r="M44">
        <v>1</v>
      </c>
      <c r="U44">
        <f t="shared" si="0"/>
        <v>30</v>
      </c>
      <c r="V44" t="s">
        <v>54</v>
      </c>
      <c r="W44" s="1">
        <v>30</v>
      </c>
    </row>
    <row r="45" spans="2:23" x14ac:dyDescent="0.25">
      <c r="N45">
        <v>1</v>
      </c>
      <c r="U45">
        <f t="shared" si="0"/>
        <v>50</v>
      </c>
      <c r="V45" t="s">
        <v>54</v>
      </c>
      <c r="W45" s="1">
        <v>50</v>
      </c>
    </row>
    <row r="46" spans="2:23" x14ac:dyDescent="0.25">
      <c r="O46">
        <v>1</v>
      </c>
      <c r="U46">
        <f t="shared" si="0"/>
        <v>2</v>
      </c>
      <c r="V46" t="s">
        <v>54</v>
      </c>
      <c r="W46" s="1">
        <v>2</v>
      </c>
    </row>
    <row r="47" spans="2:23" x14ac:dyDescent="0.25">
      <c r="P47">
        <v>1</v>
      </c>
      <c r="U47">
        <f t="shared" si="0"/>
        <v>5</v>
      </c>
      <c r="V47" t="s">
        <v>54</v>
      </c>
      <c r="W47" s="1">
        <v>5</v>
      </c>
    </row>
    <row r="48" spans="2:23" x14ac:dyDescent="0.25">
      <c r="Q48">
        <v>1</v>
      </c>
      <c r="U48">
        <f t="shared" si="0"/>
        <v>2</v>
      </c>
      <c r="V48" t="s">
        <v>54</v>
      </c>
      <c r="W48" s="1">
        <v>2</v>
      </c>
    </row>
    <row r="49" spans="18:23" x14ac:dyDescent="0.25">
      <c r="R49">
        <v>1</v>
      </c>
      <c r="U49">
        <f t="shared" si="0"/>
        <v>20</v>
      </c>
      <c r="V49" t="s">
        <v>54</v>
      </c>
      <c r="W49" s="1">
        <v>20</v>
      </c>
    </row>
    <row r="50" spans="18:23" x14ac:dyDescent="0.25">
      <c r="S50">
        <v>1</v>
      </c>
      <c r="U50">
        <f t="shared" si="0"/>
        <v>4</v>
      </c>
      <c r="V50" t="s">
        <v>54</v>
      </c>
      <c r="W50" s="1">
        <v>4</v>
      </c>
    </row>
    <row r="51" spans="18:23" x14ac:dyDescent="0.25">
      <c r="T51">
        <v>1</v>
      </c>
      <c r="U51">
        <f t="shared" si="0"/>
        <v>10</v>
      </c>
      <c r="V51" t="s">
        <v>54</v>
      </c>
      <c r="W5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Answer Report 1</vt:lpstr>
      <vt:lpstr>example1</vt:lpstr>
      <vt:lpstr>Answer Report 2</vt:lpstr>
      <vt:lpstr>Answer Report 3</vt:lpstr>
      <vt:lpstr>Answer Report 4</vt:lpstr>
      <vt:lpstr>Answer Report 5</vt:lpstr>
      <vt:lpstr>example 2</vt:lpstr>
      <vt:lpstr>Answer Report 6</vt:lpstr>
      <vt:lpstr>Answer Report 7</vt:lpstr>
      <vt:lpstr>Answer Report 8</vt:lpstr>
      <vt:lpstr>Answer Report 9</vt:lpstr>
      <vt:lpstr>final</vt:lpstr>
      <vt:lpstr>Answer Report 10</vt:lpstr>
      <vt:lpstr>new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2021-02-10T07:14:50Z</dcterms:created>
  <dcterms:modified xsi:type="dcterms:W3CDTF">2021-06-04T09:39:40Z</dcterms:modified>
</cp:coreProperties>
</file>